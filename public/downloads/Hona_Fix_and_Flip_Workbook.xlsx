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Your Deal" sheetId="2" state="visible" r:id="rId2"/>
    <sheet xmlns:r="http://schemas.openxmlformats.org/officeDocument/2006/relationships" name="Comps &amp; Buy Box" sheetId="3" state="visible" r:id="rId3"/>
    <sheet xmlns:r="http://schemas.openxmlformats.org/officeDocument/2006/relationships" name="Scope &amp; Phases" sheetId="4" state="visible" r:id="rId4"/>
    <sheet xmlns:r="http://schemas.openxmlformats.org/officeDocument/2006/relationships" name="Bid Request" sheetId="5" state="visible" r:id="rId5"/>
    <sheet xmlns:r="http://schemas.openxmlformats.org/officeDocument/2006/relationships" name="Bid Comparison" sheetId="6" state="visible" r:id="rId6"/>
    <sheet xmlns:r="http://schemas.openxmlformats.org/officeDocument/2006/relationships" name="Budget &amp; Schedule" sheetId="7" state="visible" r:id="rId7"/>
    <sheet xmlns:r="http://schemas.openxmlformats.org/officeDocument/2006/relationships" name="Draw Schedule" sheetId="8" state="visible" r:id="rId8"/>
    <sheet xmlns:r="http://schemas.openxmlformats.org/officeDocument/2006/relationships" name="Cash &amp; Float" sheetId="9" state="visible" r:id="rId9"/>
    <sheet xmlns:r="http://schemas.openxmlformats.org/officeDocument/2006/relationships" name="Take Into Hona" sheetId="10" state="visible" r:id="rId10"/>
  </sheets>
  <definedNames>
    <definedName name="_xlnm.Print_Area" localSheetId="4">'Bid Request'!$A$1:$E$39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mmm d, yyyy"/>
    <numFmt numFmtId="167" formatCode="&quot;$&quot;#,##0.00"/>
  </numFmts>
  <fonts count="27">
    <font>
      <name val="Calibri"/>
      <family val="2"/>
      <color theme="1"/>
      <sz val="11"/>
      <scheme val="minor"/>
    </font>
    <font>
      <name val="Aptos Narrow"/>
      <b val="1"/>
      <color rgb="00F5F1E8"/>
      <sz val="20"/>
    </font>
    <font>
      <name val="Aptos Narrow"/>
      <color rgb="00F5F1E8"/>
      <sz val="10.5"/>
    </font>
    <font>
      <name val="Aptos Narrow"/>
      <b val="1"/>
      <color rgb="00A8853F"/>
      <sz val="11"/>
    </font>
    <font>
      <name val="Aptos Narrow"/>
      <color rgb="001C2A39"/>
      <sz val="11.5"/>
    </font>
    <font>
      <name val="Aptos Narrow"/>
      <b val="1"/>
      <color rgb="001C2A39"/>
      <sz val="11.5"/>
    </font>
    <font>
      <name val="Aptos Narrow"/>
      <i val="1"/>
      <color rgb="006B7784"/>
      <sz val="9.5"/>
    </font>
    <font>
      <name val="Aptos Narrow"/>
      <i val="1"/>
      <color rgb="006B7784"/>
      <sz val="10"/>
    </font>
    <font>
      <name val="Aptos Narrow"/>
      <i val="1"/>
      <color rgb="001C2A39"/>
      <sz val="10"/>
    </font>
    <font>
      <name val="Aptos Narrow"/>
      <b val="1"/>
      <color rgb="00F5F1E8"/>
      <sz val="10"/>
    </font>
    <font>
      <name val="Aptos Narrow"/>
      <b val="1"/>
      <color rgb="001C2A39"/>
      <sz val="11"/>
    </font>
    <font>
      <name val="Aptos Narrow"/>
      <b val="1"/>
      <color rgb="00A8853F"/>
      <sz val="12"/>
    </font>
    <font>
      <name val="Aptos Narrow"/>
      <b val="1"/>
      <color rgb="001C2A39"/>
      <sz val="12"/>
    </font>
    <font>
      <name val="Aptos Narrow"/>
      <b val="1"/>
      <color rgb="00A8853F"/>
      <sz val="14"/>
    </font>
    <font>
      <name val="Aptos Narrow"/>
      <b val="1"/>
      <color rgb="001F7A4D"/>
      <sz val="11"/>
    </font>
    <font>
      <name val="Aptos Narrow"/>
      <color rgb="00FFFFFF"/>
      <sz val="9"/>
    </font>
    <font>
      <name val="Aptos Narrow"/>
      <i val="1"/>
      <color rgb="00A8853F"/>
      <sz val="10"/>
    </font>
    <font>
      <name val="Aptos Narrow"/>
      <b val="1"/>
      <color rgb="00F5F1E8"/>
      <sz val="40"/>
    </font>
    <font>
      <name val="Aptos Narrow"/>
      <b val="1"/>
      <color rgb="00A8853F"/>
      <sz val="13"/>
    </font>
    <font>
      <name val="Aptos Narrow"/>
      <b val="1"/>
      <color rgb="001C2A39"/>
      <sz val="16"/>
    </font>
    <font>
      <name val="Aptos Narrow"/>
      <color rgb="006B7784"/>
      <sz val="11"/>
    </font>
    <font>
      <name val="Aptos Narrow"/>
      <color rgb="006B7784"/>
      <sz val="10.5"/>
    </font>
    <font>
      <name val="Aptos Narrow"/>
      <color rgb="006B7784"/>
      <sz val="10"/>
    </font>
    <font>
      <name val="Aptos Narrow"/>
      <i val="1"/>
      <color rgb="006B7784"/>
      <sz val="10.5"/>
    </font>
    <font>
      <name val="Aptos Narrow"/>
      <color rgb="00A8853F"/>
      <sz val="10.5"/>
    </font>
    <font>
      <name val="Aptos Narrow"/>
      <b val="1"/>
      <color rgb="000B5CAB"/>
      <sz val="11.5"/>
      <u val="single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1C2A39"/>
      </patternFill>
    </fill>
    <fill>
      <patternFill patternType="solid">
        <fgColor rgb="00A8853F"/>
      </patternFill>
    </fill>
    <fill>
      <patternFill patternType="solid">
        <fgColor rgb="00E8F1FA"/>
      </patternFill>
    </fill>
    <fill>
      <patternFill patternType="solid">
        <fgColor rgb="00F2F3F5"/>
      </patternFill>
    </fill>
    <fill>
      <patternFill patternType="solid">
        <fgColor rgb="00F5F1E8"/>
      </patternFill>
    </fill>
  </fills>
  <borders count="10">
    <border>
      <left/>
      <right/>
      <top/>
      <bottom/>
      <diagonal/>
    </border>
    <border>
      <bottom style="medium">
        <color rgb="00A8853F"/>
      </bottom>
    </border>
    <border>
      <left style="thin">
        <color rgb="00D8DCE1"/>
      </left>
      <right style="thin">
        <color rgb="00D8DCE1"/>
      </right>
      <top style="thin">
        <color rgb="00D8DCE1"/>
      </top>
      <bottom style="thin">
        <color rgb="00D8DCE1"/>
      </bottom>
    </border>
    <border>
      <left/>
      <right/>
      <top style="thin">
        <color rgb="00D8DCE1"/>
      </top>
      <bottom/>
      <diagonal/>
    </border>
    <border>
      <left/>
      <right style="thin">
        <color rgb="00D8DCE1"/>
      </right>
      <top style="thin">
        <color rgb="00D8DCE1"/>
      </top>
      <bottom/>
      <diagonal/>
    </border>
    <border>
      <left/>
      <right/>
      <top style="thin">
        <color rgb="00D8DCE1"/>
      </top>
      <bottom style="thin">
        <color rgb="00D8DCE1"/>
      </bottom>
      <diagonal/>
    </border>
    <border>
      <left/>
      <right style="thin">
        <color rgb="00D8DCE1"/>
      </right>
      <top style="thin">
        <color rgb="00D8DCE1"/>
      </top>
      <bottom style="thin">
        <color rgb="00D8DCE1"/>
      </bottom>
      <diagonal/>
    </border>
    <border>
      <left style="thin">
        <color rgb="00D8DCE1"/>
      </left>
      <right style="thin">
        <color rgb="00D8DCE1"/>
      </right>
      <top style="medium">
        <color rgb="00A8853F"/>
      </top>
      <bottom style="thin">
        <color rgb="00D8DCE1"/>
      </bottom>
    </border>
    <border>
      <top style="medium">
        <color rgb="00A8853F"/>
      </top>
    </border>
    <border/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top" indent="1"/>
    </xf>
    <xf numFmtId="0" fontId="0" fillId="3" borderId="0" pivotButton="0" quotePrefix="0" xfId="0"/>
    <xf numFmtId="0" fontId="3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6" fillId="0" borderId="0" pivotButton="0" quotePrefix="0" xfId="0"/>
    <xf numFmtId="3" fontId="5" fillId="4" borderId="2" applyAlignment="1" pivotButton="0" quotePrefix="0" xfId="0">
      <alignment horizontal="center" vertical="center"/>
    </xf>
    <xf numFmtId="42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4" fontId="5" fillId="4" borderId="2" applyAlignment="1" pivotButton="0" quotePrefix="0" xfId="0">
      <alignment horizontal="center" vertical="center"/>
    </xf>
    <xf numFmtId="165" fontId="5" fillId="4" borderId="2" applyAlignment="1" pivotButton="0" quotePrefix="0" xfId="0">
      <alignment horizontal="center" vertical="center"/>
    </xf>
    <xf numFmtId="166" fontId="5" fillId="4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2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3" fontId="0" fillId="4" borderId="2" pivotButton="0" quotePrefix="0" xfId="0"/>
    <xf numFmtId="42" fontId="0" fillId="4" borderId="2" pivotButton="0" quotePrefix="0" xfId="0"/>
    <xf numFmtId="167" fontId="0" fillId="5" borderId="2" pivotButton="0" quotePrefix="0" xfId="0"/>
    <xf numFmtId="0" fontId="10" fillId="0" borderId="0" applyAlignment="1" pivotButton="0" quotePrefix="0" xfId="0">
      <alignment horizontal="right" vertical="center"/>
    </xf>
    <xf numFmtId="167" fontId="11" fillId="5" borderId="2" pivotButton="0" quotePrefix="0" xfId="0"/>
    <xf numFmtId="42" fontId="5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42" fontId="13" fillId="5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14" fillId="4" borderId="7" applyAlignment="1" pivotButton="0" quotePrefix="0" xfId="0">
      <alignment horizontal="center" vertical="center"/>
    </xf>
    <xf numFmtId="42" fontId="0" fillId="5" borderId="7" pivotButton="0" quotePrefix="0" xfId="0"/>
    <xf numFmtId="3" fontId="0" fillId="5" borderId="7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4" fillId="4" borderId="2" applyAlignment="1" pivotButton="0" quotePrefix="0" xfId="0">
      <alignment horizontal="center" vertical="center"/>
    </xf>
    <xf numFmtId="42" fontId="0" fillId="5" borderId="2" pivotButton="0" quotePrefix="0" xfId="0"/>
    <xf numFmtId="3" fontId="0" fillId="5" borderId="2" pivotButton="0" quotePrefix="0" xfId="0"/>
    <xf numFmtId="0" fontId="11" fillId="0" borderId="0" applyAlignment="1" pivotButton="0" quotePrefix="0" xfId="0">
      <alignment horizontal="center" vertical="center"/>
    </xf>
    <xf numFmtId="42" fontId="11" fillId="5" borderId="2" pivotButton="0" quotePrefix="0" xfId="0"/>
    <xf numFmtId="0" fontId="0" fillId="5" borderId="7" applyAlignment="1" pivotButton="0" quotePrefix="0" xfId="0">
      <alignment horizontal="center" vertical="center"/>
    </xf>
    <xf numFmtId="0" fontId="0" fillId="4" borderId="7" pivotButton="0" quotePrefix="0" xfId="0"/>
    <xf numFmtId="42" fontId="0" fillId="4" borderId="7" pivotButton="0" quotePrefix="0" xfId="0"/>
    <xf numFmtId="3" fontId="0" fillId="4" borderId="7" applyAlignment="1" pivotButton="0" quotePrefix="0" xfId="0">
      <alignment horizontal="center" vertical="center"/>
    </xf>
    <xf numFmtId="42" fontId="0" fillId="5" borderId="7" applyAlignment="1" pivotButton="0" quotePrefix="0" xfId="0">
      <alignment horizontal="center" vertical="center"/>
    </xf>
    <xf numFmtId="3" fontId="0" fillId="5" borderId="7" applyAlignment="1" pivotButton="0" quotePrefix="0" xfId="0">
      <alignment horizontal="center" vertical="center"/>
    </xf>
    <xf numFmtId="0" fontId="0" fillId="5" borderId="7" applyAlignment="1" pivotButton="0" quotePrefix="0" xfId="0">
      <alignment horizontal="left" vertical="center"/>
    </xf>
    <xf numFmtId="0" fontId="0" fillId="5" borderId="2" applyAlignment="1" pivotButton="0" quotePrefix="0" xfId="0">
      <alignment horizontal="center" vertical="center"/>
    </xf>
    <xf numFmtId="3" fontId="0" fillId="4" borderId="2" applyAlignment="1" pivotButton="0" quotePrefix="0" xfId="0">
      <alignment horizontal="center" vertical="center"/>
    </xf>
    <xf numFmtId="42" fontId="0" fillId="5" borderId="2" applyAlignment="1" pivotButton="0" quotePrefix="0" xfId="0">
      <alignment horizontal="center" vertical="center"/>
    </xf>
    <xf numFmtId="3" fontId="0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167" fontId="5" fillId="5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6" fontId="0" fillId="5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right" vertical="center"/>
    </xf>
    <xf numFmtId="0" fontId="10" fillId="0" borderId="8" applyAlignment="1" pivotButton="0" quotePrefix="0" xfId="0">
      <alignment horizontal="center" vertical="center"/>
    </xf>
    <xf numFmtId="42" fontId="11" fillId="0" borderId="8" pivotButton="0" quotePrefix="0" xfId="0"/>
    <xf numFmtId="0" fontId="0" fillId="0" borderId="8" pivotButton="0" quotePrefix="0" xfId="0"/>
    <xf numFmtId="166" fontId="10" fillId="0" borderId="8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42" fontId="10" fillId="5" borderId="2" pivotButton="0" quotePrefix="0" xfId="0"/>
    <xf numFmtId="42" fontId="3" fillId="0" borderId="8" pivotButton="0" quotePrefix="0" xfId="0"/>
    <xf numFmtId="0" fontId="17" fillId="2" borderId="0" applyAlignment="1" pivotButton="0" quotePrefix="0" xfId="0">
      <alignment horizontal="left" vertical="center" indent="2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center" indent="1"/>
    </xf>
    <xf numFmtId="0" fontId="21" fillId="0" borderId="2" applyAlignment="1" pivotButton="0" quotePrefix="0" xfId="0">
      <alignment horizontal="left" vertical="center"/>
    </xf>
    <xf numFmtId="0" fontId="11" fillId="5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indent="1"/>
    </xf>
    <xf numFmtId="0" fontId="0" fillId="0" borderId="2" pivotButton="0" quotePrefix="0" xfId="0"/>
    <xf numFmtId="42" fontId="12" fillId="5" borderId="2" applyAlignment="1" pivotButton="0" quotePrefix="0" xfId="0">
      <alignment horizontal="center" vertical="center"/>
    </xf>
    <xf numFmtId="167" fontId="12" fillId="5" borderId="2" applyAlignment="1" pivotButton="0" quotePrefix="0" xfId="0">
      <alignment horizontal="center" vertical="center"/>
    </xf>
    <xf numFmtId="3" fontId="12" fillId="5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top" wrapText="1"/>
    </xf>
    <xf numFmtId="0" fontId="15" fillId="0" borderId="0" pivotButton="0" quotePrefix="0" xfId="0"/>
    <xf numFmtId="0" fontId="5" fillId="0" borderId="0" pivotButton="0" quotePrefix="0" xfId="0"/>
    <xf numFmtId="0" fontId="5" fillId="4" borderId="2" applyAlignment="1" pivotButton="0" quotePrefix="0" xfId="0">
      <alignment horizontal="left" vertical="center"/>
    </xf>
    <xf numFmtId="0" fontId="10" fillId="0" borderId="0" pivotButton="0" quotePrefix="0" xfId="0"/>
    <xf numFmtId="0" fontId="0" fillId="5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/>
    </xf>
    <xf numFmtId="42" fontId="0" fillId="4" borderId="2" applyAlignment="1" pivotButton="0" quotePrefix="0" xfId="0">
      <alignment horizontal="center" vertical="center"/>
    </xf>
    <xf numFmtId="42" fontId="11" fillId="0" borderId="2" pivotButton="0" quotePrefix="0" xfId="0"/>
    <xf numFmtId="3" fontId="11" fillId="0" borderId="2" applyAlignment="1" pivotButton="0" quotePrefix="0" xfId="0">
      <alignment horizontal="center" vertical="center"/>
    </xf>
    <xf numFmtId="42" fontId="0" fillId="5" borderId="2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 wrapText="1"/>
    </xf>
    <xf numFmtId="0" fontId="25" fillId="6" borderId="2" applyAlignment="1" pivotButton="0" quotePrefix="0" xfId="0">
      <alignment horizontal="left" vertical="center"/>
    </xf>
    <xf numFmtId="0" fontId="0" fillId="6" borderId="2" pivotButton="0" quotePrefix="0" xfId="0"/>
    <xf numFmtId="0" fontId="6" fillId="0" borderId="9" applyAlignment="1" pivotButton="0" quotePrefix="0" xfId="0">
      <alignment horizontal="left" vertical="center"/>
    </xf>
    <xf numFmtId="0" fontId="26" fillId="0" borderId="9" pivotButton="0" quotePrefix="0" xfId="0"/>
  </cellXfs>
  <cellStyles count="1">
    <cellStyle name="Normal" xfId="0" builtinId="0" hidden="0"/>
  </cellStyles>
  <dxfs count="8">
    <dxf>
      <font>
        <name val="Aptos Narrow"/>
        <b val="1"/>
        <color rgb="00B3261E"/>
        <sz val="11.5"/>
      </font>
    </dxf>
    <dxf>
      <font>
        <name val="Aptos Narrow"/>
        <b val="1"/>
        <color rgb="001F7A4D"/>
        <sz val="11.5"/>
      </font>
    </dxf>
    <dxf>
      <font>
        <name val="Aptos Narrow"/>
        <color rgb="00B8BDC4"/>
        <sz val="11"/>
      </font>
      <fill>
        <patternFill patternType="solid">
          <fgColor rgb="00FCFCFC"/>
        </patternFill>
      </fill>
    </dxf>
    <dxf>
      <font>
        <name val="Aptos Narrow"/>
        <color rgb="00C6CBD1"/>
        <sz val="11"/>
      </font>
      <fill>
        <patternFill patternType="solid">
          <fgColor rgb="00FCFCFC"/>
        </patternFill>
      </fill>
    </dxf>
    <dxf>
      <fill>
        <patternFill patternType="solid">
          <fgColor rgb="00FFF4E0"/>
        </patternFill>
      </fill>
    </dxf>
    <dxf>
      <font>
        <name val="Aptos Narrow"/>
        <b val="1"/>
        <color rgb="00B3261E"/>
        <sz val="11"/>
      </font>
    </dxf>
    <dxf>
      <font>
        <name val="Aptos Narrow"/>
        <b val="1"/>
        <color rgb="00B3261E"/>
        <sz val="14"/>
      </font>
    </dxf>
    <dxf>
      <font>
        <name val="Aptos Narrow"/>
        <color rgb="00FFFFFF"/>
        <sz val="11"/>
      </font>
      <fill>
        <patternFill patternType="solid">
          <fgColor rgb="00FFFFFF"/>
        </patternFill>
      </fill>
      <border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1" customWidth="1" min="2" max="2"/>
    <col width="47" customWidth="1" min="3" max="3"/>
    <col width="15" customWidth="1" min="4" max="4"/>
    <col width="10" customWidth="1" min="5" max="5"/>
    <col width="4" customWidth="1" min="6" max="6"/>
  </cols>
  <sheetData>
    <row r="1">
      <c r="A1" s="70" t="inlineStr">
        <is>
          <t>hona</t>
        </is>
      </c>
    </row>
    <row r="2"/>
    <row r="3"/>
    <row r="4"/>
    <row r="5"/>
    <row r="6"/>
    <row r="7"/>
    <row r="8" ht="26" customHeight="1">
      <c r="A8" s="71" t="inlineStr">
        <is>
          <t>THE FIX &amp; FLIP WORKBOOK</t>
        </is>
      </c>
    </row>
    <row r="9" ht="5" customHeight="1">
      <c r="A9" s="4" t="n"/>
      <c r="B9" s="4" t="n"/>
      <c r="C9" s="4" t="n"/>
      <c r="D9" s="4" t="n"/>
      <c r="E9" s="4" t="n"/>
      <c r="F9" s="4" t="n"/>
    </row>
    <row r="11" ht="30" customHeight="1">
      <c r="B11" s="72" t="inlineStr">
        <is>
          <t>Run a flip without having run one before.</t>
        </is>
      </c>
    </row>
    <row r="12" ht="18" customHeight="1">
      <c r="B12" s="73" t="inlineStr">
        <is>
          <t>Answer the questions on Your Deal. Put six sold houses on Comps. Untick what this house does not need on Scope &amp; Phases. Send the Bid Request to subs and type back what they quote. Everything else fills itself in.</t>
        </is>
      </c>
    </row>
    <row r="13" ht="18" customHeight="1"/>
    <row r="15" ht="24" customHeight="1">
      <c r="A15" s="5" t="inlineStr">
        <is>
          <t>WHERE YOU ARE</t>
        </is>
      </c>
      <c r="B15" s="6" t="n"/>
      <c r="C15" s="6" t="n"/>
      <c r="D15" s="6" t="n"/>
      <c r="E15" s="6" t="n"/>
      <c r="F15" s="6" t="n"/>
    </row>
    <row r="17" ht="26" customHeight="1">
      <c r="B17" s="19" t="inlineStr">
        <is>
          <t>Step</t>
        </is>
      </c>
      <c r="C17" s="19" t="inlineStr">
        <is>
          <t>What it is</t>
        </is>
      </c>
      <c r="D17" s="19" t="inlineStr">
        <is>
          <t>Done</t>
        </is>
      </c>
      <c r="E17" s="19" t="inlineStr"/>
    </row>
    <row r="18" ht="24" customHeight="1">
      <c r="B18" s="74" t="inlineStr">
        <is>
          <t>1.  Your Deal</t>
        </is>
      </c>
      <c r="C18" s="75" t="inlineStr">
        <is>
          <t>Fourteen questions about the house, the money and your terms.</t>
        </is>
      </c>
      <c r="D18" s="76">
        <f>COUNTA('Your Deal'!$D$6:$D$40)</f>
        <v/>
      </c>
      <c r="E18" s="77" t="inlineStr">
        <is>
          <t>14</t>
        </is>
      </c>
    </row>
    <row r="19" ht="24" customHeight="1">
      <c r="B19" s="74" t="inlineStr">
        <is>
          <t>2.  Comps &amp; Buy Box</t>
        </is>
      </c>
      <c r="C19" s="75" t="inlineStr">
        <is>
          <t>Three sold as-is, three sold renovated. Gives you your ceiling.</t>
        </is>
      </c>
      <c r="D19" s="76">
        <f>COUNT('Comps &amp; Buy Box'!$C$8:$C$10)+COUNT('Comps &amp; Buy Box'!$C$16:$C$18)</f>
        <v/>
      </c>
      <c r="E19" s="77" t="inlineStr">
        <is>
          <t>6</t>
        </is>
      </c>
    </row>
    <row r="20" ht="24" customHeight="1">
      <c r="B20" s="74" t="inlineStr">
        <is>
          <t>3.  Scope &amp; Phases</t>
        </is>
      </c>
      <c r="C20" s="75" t="inlineStr">
        <is>
          <t>Untick anything this house does not need.</t>
        </is>
      </c>
      <c r="D20" s="76">
        <f>COUNTIF('Scope &amp; Phases'!$D$8:$D$73,"x")</f>
        <v/>
      </c>
      <c r="E20" s="77" t="inlineStr">
        <is>
          <t>jobs</t>
        </is>
      </c>
    </row>
    <row r="21" ht="24" customHeight="1">
      <c r="B21" s="74" t="inlineStr">
        <is>
          <t>4.  Bid Comparison</t>
        </is>
      </c>
      <c r="C21" s="75" t="inlineStr">
        <is>
          <t>What each sub quoted — price and days.</t>
        </is>
      </c>
      <c r="D21" s="76">
        <f>COUNTIF('Bid Comparison'!$N$8:$N$73,"&gt;0")</f>
        <v/>
      </c>
      <c r="E21" s="77" t="inlineStr">
        <is>
          <t>priced</t>
        </is>
      </c>
    </row>
    <row r="23" ht="24" customHeight="1">
      <c r="A23" s="5" t="inlineStr">
        <is>
          <t>WHAT IT TELLS YOU</t>
        </is>
      </c>
      <c r="B23" s="6" t="n"/>
      <c r="C23" s="6" t="n"/>
      <c r="D23" s="6" t="n"/>
      <c r="E23" s="6" t="n"/>
      <c r="F23" s="6" t="n"/>
    </row>
    <row r="25" ht="24" customHeight="1">
      <c r="B25" s="78" t="inlineStr">
        <is>
          <t>Most you should pay</t>
        </is>
      </c>
      <c r="C25" s="79" t="n"/>
      <c r="D25" s="80">
        <f>'Comps &amp; Buy Box'!$D$33</f>
        <v/>
      </c>
      <c r="E25" s="79" t="n"/>
    </row>
    <row r="26" ht="24" customHeight="1">
      <c r="B26" s="78" t="inlineStr">
        <is>
          <t>Rehab budget from your bids</t>
        </is>
      </c>
      <c r="C26" s="79" t="n"/>
      <c r="D26" s="80">
        <f>'Budget &amp; Schedule'!$D$5</f>
        <v/>
      </c>
      <c r="E26" s="79" t="n"/>
    </row>
    <row r="27" ht="24" customHeight="1">
      <c r="B27" s="78" t="inlineStr">
        <is>
          <t>Cost per square foot</t>
        </is>
      </c>
      <c r="C27" s="79" t="n"/>
      <c r="D27" s="81">
        <f>'Budget &amp; Schedule'!$D$6</f>
        <v/>
      </c>
      <c r="E27" s="79" t="n"/>
    </row>
    <row r="28" ht="24" customHeight="1">
      <c r="B28" s="78" t="inlineStr">
        <is>
          <t>Days on site</t>
        </is>
      </c>
      <c r="C28" s="79" t="n"/>
      <c r="D28" s="82">
        <f>'Budget &amp; Schedule'!$D$7</f>
        <v/>
      </c>
      <c r="E28" s="79" t="n"/>
    </row>
    <row r="29" ht="24" customHeight="1">
      <c r="B29" s="78" t="inlineStr">
        <is>
          <t>Extra cash you need between draws</t>
        </is>
      </c>
      <c r="C29" s="79" t="n"/>
      <c r="D29" s="80">
        <f>'Cash &amp; Float'!$F$21</f>
        <v/>
      </c>
      <c r="E29" s="79" t="n"/>
    </row>
    <row r="32">
      <c r="B32" s="83" t="inlineStr">
        <is>
          <t>Blue cells are yours to fill in.  Grey cells calculate themselves — leave them alone.</t>
        </is>
      </c>
    </row>
    <row r="34">
      <c r="B34" s="84" t="inlineStr">
        <is>
          <t>Need help?  Email support@honafinancial.com with any question about this workbook.</t>
        </is>
      </c>
    </row>
    <row r="36" ht="30" customHeight="1">
      <c r="B36" s="85" t="inlineStr">
        <is>
          <t>When the numbers are right, the last sheet hands your project straight to Hona — and every receipt you scan lands against them.   honafinancial.com</t>
        </is>
      </c>
    </row>
  </sheetData>
  <mergeCells count="7">
    <mergeCell ref="B12:F13"/>
    <mergeCell ref="B34:F34"/>
    <mergeCell ref="B11:F11"/>
    <mergeCell ref="A1:F7"/>
    <mergeCell ref="A8:F8"/>
    <mergeCell ref="B36:F36"/>
    <mergeCell ref="B32:F32"/>
  </mergeCells>
  <pageMargins left="0.4" right="0.4" top="0.5" bottom="0.5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0" customWidth="1" min="8" max="8"/>
  </cols>
  <sheetData>
    <row r="1" ht="38" customHeight="1">
      <c r="A1" s="1" t="inlineStr">
        <is>
          <t>Your Deal</t>
        </is>
      </c>
    </row>
    <row r="2" ht="20" customHeight="1">
      <c r="A2" s="3" t="inlineStr">
        <is>
          <t>Answer these in order. Everything else in this workbook fills itself in.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5" ht="24" customHeight="1">
      <c r="A5" s="5" t="inlineStr">
        <is>
          <t>THE PROPERTY</t>
        </is>
      </c>
      <c r="B5" s="6" t="n"/>
      <c r="C5" s="6" t="n"/>
      <c r="D5" s="6" t="n"/>
      <c r="E5" s="6" t="n"/>
      <c r="F5" s="6" t="n"/>
      <c r="G5" s="6" t="n"/>
      <c r="H5" s="6" t="n"/>
    </row>
    <row r="7" ht="22" customHeight="1">
      <c r="A7" s="7" t="inlineStr">
        <is>
          <t>1.  Property address</t>
        </is>
      </c>
      <c r="D7" s="88" t="inlineStr">
        <is>
          <t>1421 E Cloud Rd, Queen Creek AZ</t>
        </is>
      </c>
      <c r="E7" s="31" t="n"/>
      <c r="F7" s="32" t="n"/>
    </row>
    <row r="8" ht="14" customHeight="1">
      <c r="A8" s="10" t="inlineStr">
        <is>
          <t xml:space="preserve">     Street, city, state</t>
        </is>
      </c>
    </row>
    <row r="9" ht="22" customHeight="1">
      <c r="A9" s="7" t="inlineStr">
        <is>
          <t>2.  Square footage</t>
        </is>
      </c>
      <c r="D9" s="11" t="n">
        <v>1860</v>
      </c>
      <c r="E9" s="31" t="n"/>
      <c r="F9" s="32" t="n"/>
    </row>
    <row r="10" ht="14" customHeight="1">
      <c r="A10" s="10" t="inlineStr">
        <is>
          <t xml:space="preserve">     Heated and cooled area only</t>
        </is>
      </c>
    </row>
    <row r="11" ht="22" customHeight="1">
      <c r="A11" s="7" t="inlineStr">
        <is>
          <t>3.  What are you paying for it?</t>
        </is>
      </c>
      <c r="D11" s="12" t="n">
        <v>255000</v>
      </c>
      <c r="E11" s="31" t="n"/>
      <c r="F11" s="32" t="n"/>
    </row>
    <row r="12" ht="14" customHeight="1">
      <c r="A12" s="10" t="inlineStr">
        <is>
          <t xml:space="preserve">     Purchase price. Leave blank if you have not offered yet.</t>
        </is>
      </c>
    </row>
    <row r="13" ht="22" customHeight="1">
      <c r="A13" s="7" t="inlineStr">
        <is>
          <t>4.  How rough is it?</t>
        </is>
      </c>
      <c r="D13" s="13" t="inlineStr">
        <is>
          <t>Medium</t>
        </is>
      </c>
      <c r="E13" s="31" t="n"/>
      <c r="F13" s="32" t="n"/>
    </row>
    <row r="14" ht="14" customHeight="1">
      <c r="A14" s="10" t="inlineStr">
        <is>
          <t xml:space="preserve">     Light / Medium / Heavy / Rebuild — this pre-ticks your scope</t>
        </is>
      </c>
    </row>
    <row r="16" ht="24" customHeight="1">
      <c r="A16" s="5" t="inlineStr">
        <is>
          <t>THE MONEY</t>
        </is>
      </c>
      <c r="B16" s="6" t="n"/>
      <c r="C16" s="6" t="n"/>
      <c r="D16" s="6" t="n"/>
      <c r="E16" s="6" t="n"/>
      <c r="F16" s="6" t="n"/>
      <c r="G16" s="6" t="n"/>
      <c r="H16" s="6" t="n"/>
    </row>
    <row r="18" ht="22" customHeight="1">
      <c r="A18" s="7" t="inlineStr">
        <is>
          <t>5.  How much are you borrowing?</t>
        </is>
      </c>
      <c r="D18" s="12" t="n">
        <v>310000</v>
      </c>
      <c r="E18" s="31" t="n"/>
      <c r="F18" s="32" t="n"/>
    </row>
    <row r="19" ht="14" customHeight="1">
      <c r="A19" s="10" t="inlineStr">
        <is>
          <t xml:space="preserve">     Total loan amount including rehab draws</t>
        </is>
      </c>
    </row>
    <row r="20" ht="22" customHeight="1">
      <c r="A20" s="7" t="inlineStr">
        <is>
          <t>6.  Interest rate</t>
        </is>
      </c>
      <c r="D20" s="14" t="n">
        <v>0.115</v>
      </c>
      <c r="E20" s="31" t="n"/>
      <c r="F20" s="32" t="n"/>
    </row>
    <row r="21" ht="14" customHeight="1">
      <c r="A21" s="10" t="inlineStr">
        <is>
          <t xml:space="preserve">     Annual rate, e.g. 11.5%</t>
        </is>
      </c>
    </row>
    <row r="22" ht="22" customHeight="1">
      <c r="A22" s="7" t="inlineStr">
        <is>
          <t>7.  Points</t>
        </is>
      </c>
      <c r="D22" s="15" t="n">
        <v>2</v>
      </c>
      <c r="E22" s="31" t="n"/>
      <c r="F22" s="32" t="n"/>
    </row>
    <row r="23" ht="14" customHeight="1">
      <c r="A23" s="10" t="inlineStr">
        <is>
          <t xml:space="preserve">     Origination points charged at closing</t>
        </is>
      </c>
    </row>
    <row r="24" ht="22" customHeight="1">
      <c r="A24" s="7" t="inlineStr">
        <is>
          <t>8.  Days from draw request until your lender funds</t>
        </is>
      </c>
      <c r="D24" s="11" t="n">
        <v>10</v>
      </c>
      <c r="E24" s="31" t="n"/>
      <c r="F24" s="32" t="n"/>
    </row>
    <row r="25" ht="14" customHeight="1">
      <c r="A25" s="10" t="inlineStr">
        <is>
          <t xml:space="preserve">     Ask them. This drives how much cash you carry.</t>
        </is>
      </c>
    </row>
    <row r="26" ht="22" customHeight="1">
      <c r="A26" s="7" t="inlineStr">
        <is>
          <t>9.  How much of your own cash can you put in?</t>
        </is>
      </c>
      <c r="D26" s="12" t="n">
        <v>60000</v>
      </c>
      <c r="E26" s="31" t="n"/>
      <c r="F26" s="32" t="n"/>
    </row>
    <row r="27" ht="14" customHeight="1">
      <c r="A27" s="10" t="inlineStr">
        <is>
          <t xml:space="preserve">     Cash available for deposits and carry, not the down payment</t>
        </is>
      </c>
    </row>
    <row r="29" ht="24" customHeight="1">
      <c r="A29" s="5" t="inlineStr">
        <is>
          <t>YOUR TERMS</t>
        </is>
      </c>
      <c r="B29" s="6" t="n"/>
      <c r="C29" s="6" t="n"/>
      <c r="D29" s="6" t="n"/>
      <c r="E29" s="6" t="n"/>
      <c r="F29" s="6" t="n"/>
      <c r="G29" s="6" t="n"/>
      <c r="H29" s="6" t="n"/>
    </row>
    <row r="31" ht="22" customHeight="1">
      <c r="A31" s="7" t="inlineStr">
        <is>
          <t>10.  When do you start?</t>
        </is>
      </c>
      <c r="D31" s="16" t="n">
        <v>46314</v>
      </c>
      <c r="E31" s="31" t="n"/>
      <c r="F31" s="32" t="n"/>
    </row>
    <row r="32" ht="14" customHeight="1">
      <c r="A32" s="10" t="inlineStr">
        <is>
          <t xml:space="preserve">     First day of work on site</t>
        </is>
      </c>
    </row>
    <row r="33" ht="22" customHeight="1">
      <c r="A33" s="7" t="inlineStr">
        <is>
          <t>11.  What do subs get up front?</t>
        </is>
      </c>
      <c r="D33" s="14" t="n">
        <v>0.5</v>
      </c>
      <c r="E33" s="31" t="n"/>
      <c r="F33" s="32" t="n"/>
    </row>
    <row r="34" ht="14" customHeight="1">
      <c r="A34" s="10" t="inlineStr">
        <is>
          <t xml:space="preserve">     Arizona residential standard is 50% down, 50% on completion</t>
        </is>
      </c>
    </row>
    <row r="35" ht="22" customHeight="1">
      <c r="A35" s="7" t="inlineStr">
        <is>
          <t>12.  Does your lender hold back a retainage?</t>
        </is>
      </c>
      <c r="D35" s="14" t="n">
        <v>0.1</v>
      </c>
      <c r="E35" s="31" t="n"/>
      <c r="F35" s="32" t="n"/>
    </row>
    <row r="36" ht="14" customHeight="1">
      <c r="A36" s="10" t="inlineStr">
        <is>
          <t xml:space="preserve">     Percentage held from each draw until completion</t>
        </is>
      </c>
    </row>
    <row r="37" ht="22" customHeight="1">
      <c r="A37" s="7" t="inlineStr">
        <is>
          <t>13.  Selling costs when you exit</t>
        </is>
      </c>
      <c r="D37" s="14" t="n">
        <v>0.08</v>
      </c>
      <c r="E37" s="31" t="n"/>
      <c r="F37" s="32" t="n"/>
    </row>
    <row r="38" ht="14" customHeight="1">
      <c r="A38" s="10" t="inlineStr">
        <is>
          <t xml:space="preserve">     Agent commission plus closing. 8% is a common default.</t>
        </is>
      </c>
    </row>
    <row r="39" ht="22" customHeight="1">
      <c r="A39" s="7" t="inlineStr">
        <is>
          <t>14.  What profit are you aiming for?</t>
        </is>
      </c>
      <c r="D39" s="12" t="n">
        <v>55000</v>
      </c>
      <c r="E39" s="31" t="n"/>
      <c r="F39" s="32" t="n"/>
    </row>
    <row r="40" ht="14" customHeight="1">
      <c r="A40" s="10" t="inlineStr">
        <is>
          <t xml:space="preserve">     Your number, not a formula. This sets your maximum offer.</t>
        </is>
      </c>
    </row>
    <row r="43" ht="16" customHeight="1">
      <c r="A43" s="17" t="inlineStr">
        <is>
          <t>Everything above is filled in with an example deal so you can see how it works. Replace it with yours.</t>
        </is>
      </c>
    </row>
    <row r="44" ht="16" customHeight="1">
      <c r="A44" s="18" t="inlineStr">
        <is>
          <t>Need help?  Email support@honafinancial.com with any question about this workbook.</t>
        </is>
      </c>
    </row>
  </sheetData>
  <mergeCells count="46">
    <mergeCell ref="D13:F13"/>
    <mergeCell ref="D11:F11"/>
    <mergeCell ref="A37:C37"/>
    <mergeCell ref="A27:F27"/>
    <mergeCell ref="A18:C18"/>
    <mergeCell ref="A12:F12"/>
    <mergeCell ref="A1:H1"/>
    <mergeCell ref="D7:F7"/>
    <mergeCell ref="A21:F21"/>
    <mergeCell ref="A26:C26"/>
    <mergeCell ref="A33:C33"/>
    <mergeCell ref="D37:F37"/>
    <mergeCell ref="A14:F14"/>
    <mergeCell ref="A23:F23"/>
    <mergeCell ref="A32:F32"/>
    <mergeCell ref="A22:C22"/>
    <mergeCell ref="A8:F8"/>
    <mergeCell ref="D18:F18"/>
    <mergeCell ref="D9:F9"/>
    <mergeCell ref="A35:C35"/>
    <mergeCell ref="D39:F39"/>
    <mergeCell ref="A20:C20"/>
    <mergeCell ref="D33:F33"/>
    <mergeCell ref="D24:F24"/>
    <mergeCell ref="A38:F38"/>
    <mergeCell ref="A10:F10"/>
    <mergeCell ref="A13:C13"/>
    <mergeCell ref="A19:F19"/>
    <mergeCell ref="A2:H2"/>
    <mergeCell ref="A31:C31"/>
    <mergeCell ref="D35:F35"/>
    <mergeCell ref="A9:C9"/>
    <mergeCell ref="D26:F26"/>
    <mergeCell ref="A34:F34"/>
    <mergeCell ref="A40:F40"/>
    <mergeCell ref="A39:C39"/>
    <mergeCell ref="D20:F20"/>
    <mergeCell ref="A24:C24"/>
    <mergeCell ref="A11:C11"/>
    <mergeCell ref="A36:F36"/>
    <mergeCell ref="A43:H43"/>
    <mergeCell ref="D31:F31"/>
    <mergeCell ref="D22:F22"/>
    <mergeCell ref="A44:H44"/>
    <mergeCell ref="A7:C7"/>
    <mergeCell ref="A25:F25"/>
  </mergeCells>
  <dataValidations count="1">
    <dataValidation sqref="D13" showDropDown="0" showInputMessage="0" showErrorMessage="0" allowBlank="1" type="list">
      <formula1>"Light,Medium,Heavy,Rebuild"</formula1>
    </dataValidation>
  </dataValidations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4" customWidth="1" min="4" max="4"/>
    <col width="34" customWidth="1" min="5" max="5"/>
    <col width="12" customWidth="1" min="6" max="6"/>
    <col width="12" customWidth="1" min="7" max="7"/>
    <col width="12" customWidth="1" min="8" max="8"/>
  </cols>
  <sheetData>
    <row r="1" ht="38" customHeight="1">
      <c r="A1" s="1" t="inlineStr">
        <is>
          <t>Comps &amp; Buy Box</t>
        </is>
      </c>
    </row>
    <row r="2" ht="20" customHeight="1">
      <c r="A2" s="3" t="inlineStr">
        <is>
          <t>Six sales tell you what this house is worth now, what it is worth finished, and the most you should pay.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5" ht="24" customHeight="1">
      <c r="A5" s="5" t="inlineStr">
        <is>
          <t>AS-IS COMPARABLES  —  WHAT HOUSES LIKE THIS SELL FOR BEFORE ANYONE TOUCHES THEM</t>
        </is>
      </c>
      <c r="B5" s="6" t="n"/>
      <c r="C5" s="6" t="n"/>
      <c r="D5" s="6" t="n"/>
      <c r="E5" s="6" t="n"/>
      <c r="F5" s="6" t="n"/>
      <c r="G5" s="6" t="n"/>
      <c r="H5" s="6" t="n"/>
    </row>
    <row r="7" ht="26" customHeight="1">
      <c r="A7" s="19" t="inlineStr">
        <is>
          <t>Address</t>
        </is>
      </c>
      <c r="B7" s="19" t="inlineStr">
        <is>
          <t>Sq ft</t>
        </is>
      </c>
      <c r="C7" s="19" t="inlineStr">
        <is>
          <t>Sold price</t>
        </is>
      </c>
      <c r="D7" s="19" t="inlineStr">
        <is>
          <t>$ / sq ft</t>
        </is>
      </c>
      <c r="E7" s="19" t="inlineStr">
        <is>
          <t>Notes</t>
        </is>
      </c>
    </row>
    <row r="8" ht="20" customHeight="1">
      <c r="A8" s="91" t="inlineStr">
        <is>
          <t>1188 E Silver Creek Rd</t>
        </is>
      </c>
      <c r="B8" s="21" t="n">
        <v>1795</v>
      </c>
      <c r="C8" s="22" t="n">
        <v>262000</v>
      </c>
      <c r="D8" s="23">
        <f>IFERROR(C8/B8,"")</f>
        <v/>
      </c>
      <c r="E8" s="91" t="inlineStr">
        <is>
          <t>Sold as-is, dated kitchen</t>
        </is>
      </c>
    </row>
    <row r="9" ht="20" customHeight="1">
      <c r="A9" s="91" t="inlineStr">
        <is>
          <t>22410 S 213th St</t>
        </is>
      </c>
      <c r="B9" s="21" t="n">
        <v>1902</v>
      </c>
      <c r="C9" s="22" t="n">
        <v>271000</v>
      </c>
      <c r="D9" s="23">
        <f>IFERROR(C9/B9,"")</f>
        <v/>
      </c>
      <c r="E9" s="91" t="inlineStr">
        <is>
          <t>Estate sale, original baths</t>
        </is>
      </c>
    </row>
    <row r="10" ht="20" customHeight="1">
      <c r="A10" s="91" t="inlineStr">
        <is>
          <t>1640 W Kingman Loop</t>
        </is>
      </c>
      <c r="B10" s="21" t="n">
        <v>1748</v>
      </c>
      <c r="C10" s="22" t="n">
        <v>249000</v>
      </c>
      <c r="D10" s="23">
        <f>IFERROR(C10/B10,"")</f>
        <v/>
      </c>
      <c r="E10" s="91" t="inlineStr">
        <is>
          <t>Investor purchase, roof issue</t>
        </is>
      </c>
    </row>
    <row r="11">
      <c r="C11" s="24" t="inlineStr">
        <is>
          <t>Average $ / sq ft</t>
        </is>
      </c>
      <c r="D11" s="25">
        <f>IFERROR(AVERAGE(D8:D10),0)</f>
        <v/>
      </c>
    </row>
    <row r="13" ht="24" customHeight="1">
      <c r="A13" s="5" t="inlineStr">
        <is>
          <t>FINISHED COMPARABLES  —  WHAT HOUSES LIKE THIS SELL FOR RENOVATED  (YOUR ARV)</t>
        </is>
      </c>
      <c r="B13" s="6" t="n"/>
      <c r="C13" s="6" t="n"/>
      <c r="D13" s="6" t="n"/>
      <c r="E13" s="6" t="n"/>
      <c r="F13" s="6" t="n"/>
      <c r="G13" s="6" t="n"/>
      <c r="H13" s="6" t="n"/>
    </row>
    <row r="15" ht="26" customHeight="1">
      <c r="A15" s="19" t="inlineStr">
        <is>
          <t>Address</t>
        </is>
      </c>
      <c r="B15" s="19" t="inlineStr">
        <is>
          <t>Sq ft</t>
        </is>
      </c>
      <c r="C15" s="19" t="inlineStr">
        <is>
          <t>Sold price</t>
        </is>
      </c>
      <c r="D15" s="19" t="inlineStr">
        <is>
          <t>$ / sq ft</t>
        </is>
      </c>
      <c r="E15" s="19" t="inlineStr">
        <is>
          <t>Notes</t>
        </is>
      </c>
    </row>
    <row r="16" ht="20" customHeight="1">
      <c r="A16" s="91" t="inlineStr">
        <is>
          <t>1355 E Cloud Rd</t>
        </is>
      </c>
      <c r="B16" s="21" t="n">
        <v>1880</v>
      </c>
      <c r="C16" s="22" t="n">
        <v>529000</v>
      </c>
      <c r="D16" s="23">
        <f>IFERROR(C16/B16,"")</f>
        <v/>
      </c>
      <c r="E16" s="91" t="inlineStr">
        <is>
          <t>Full reno, quartz + LVP</t>
        </is>
      </c>
    </row>
    <row r="17" ht="20" customHeight="1">
      <c r="A17" s="91" t="inlineStr">
        <is>
          <t>22188 S 214th Way</t>
        </is>
      </c>
      <c r="B17" s="21" t="n">
        <v>1815</v>
      </c>
      <c r="C17" s="22" t="n">
        <v>512000</v>
      </c>
      <c r="D17" s="23">
        <f>IFERROR(C17/B17,"")</f>
        <v/>
      </c>
      <c r="E17" s="91" t="inlineStr">
        <is>
          <t>Updated 2025, new HVAC</t>
        </is>
      </c>
    </row>
    <row r="18" ht="20" customHeight="1">
      <c r="A18" s="91" t="inlineStr">
        <is>
          <t>1502 W Kingman Loop</t>
        </is>
      </c>
      <c r="B18" s="21" t="n">
        <v>1930</v>
      </c>
      <c r="C18" s="22" t="n">
        <v>545000</v>
      </c>
      <c r="D18" s="23">
        <f>IFERROR(C18/B18,"")</f>
        <v/>
      </c>
      <c r="E18" s="91" t="inlineStr">
        <is>
          <t>Reno + pool resurface</t>
        </is>
      </c>
    </row>
    <row r="19">
      <c r="C19" s="24" t="inlineStr">
        <is>
          <t>Average $ / sq ft</t>
        </is>
      </c>
      <c r="D19" s="25">
        <f>IFERROR(AVERAGE(D16:D18),0)</f>
        <v/>
      </c>
    </row>
    <row r="21" ht="24" customHeight="1">
      <c r="A21" s="5" t="inlineStr">
        <is>
          <t>THE BUY BOX  —  THE MOST YOU SHOULD PAY FOR THIS HOUSE</t>
        </is>
      </c>
      <c r="B21" s="6" t="n"/>
      <c r="C21" s="6" t="n"/>
      <c r="D21" s="6" t="n"/>
      <c r="E21" s="6" t="n"/>
      <c r="F21" s="6" t="n"/>
      <c r="G21" s="6" t="n"/>
      <c r="H21" s="6" t="n"/>
    </row>
    <row r="23" ht="16" customHeight="1">
      <c r="A23" s="17" t="inlineStr">
        <is>
          <t>Walk a neighborhood, type a square footage above, and this tells you your ceiling before you make an offer.</t>
        </is>
      </c>
    </row>
    <row r="25" ht="22" customHeight="1">
      <c r="A25" s="7" t="inlineStr">
        <is>
          <t>Estimated as-is value</t>
        </is>
      </c>
      <c r="D25" s="26">
        <f>'Your Deal'!$D$9*'Comps &amp; Buy Box'!$D$11</f>
        <v/>
      </c>
      <c r="E25" s="31" t="n"/>
      <c r="F25" s="32" t="n"/>
    </row>
    <row r="26" ht="22" customHeight="1">
      <c r="A26" s="28" t="inlineStr">
        <is>
          <t>Estimated ARV  (finished value)</t>
        </is>
      </c>
      <c r="D26" s="26">
        <f>'Your Deal'!$D$9*'Comps &amp; Buy Box'!$D$19</f>
        <v/>
      </c>
      <c r="E26" s="31" t="n"/>
      <c r="F26" s="32" t="n"/>
    </row>
    <row r="28" ht="22" customHeight="1">
      <c r="A28" s="7" t="inlineStr">
        <is>
          <t>Less  selling costs</t>
        </is>
      </c>
      <c r="D28" s="26">
        <f>-$D$26*'Your Deal'!$D$37</f>
        <v/>
      </c>
      <c r="E28" s="31" t="n"/>
      <c r="F28" s="32" t="n"/>
    </row>
    <row r="29" ht="22" customHeight="1">
      <c r="A29" s="7" t="inlineStr">
        <is>
          <t>Less  rehab budget</t>
        </is>
      </c>
      <c r="D29" s="26">
        <f>-'Budget &amp; Schedule'!$D$5</f>
        <v/>
      </c>
      <c r="E29" s="31" t="n"/>
      <c r="F29" s="32" t="n"/>
    </row>
    <row r="30" ht="22" customHeight="1">
      <c r="A30" s="7" t="inlineStr">
        <is>
          <t>Less  loan carry and points</t>
        </is>
      </c>
      <c r="D30" s="26">
        <f>-(('Your Deal'!$D$18*'Your Deal'!$D$20)*('Budget &amp; Schedule'!$D$8/12)+'Your Deal'!$D$18*('Your Deal'!$D$22/100))</f>
        <v/>
      </c>
      <c r="E30" s="31" t="n"/>
      <c r="F30" s="32" t="n"/>
    </row>
    <row r="31" ht="22" customHeight="1">
      <c r="A31" s="7" t="inlineStr">
        <is>
          <t>Less  your target profit</t>
        </is>
      </c>
      <c r="D31" s="26">
        <f>-'Your Deal'!$D$39</f>
        <v/>
      </c>
      <c r="E31" s="31" t="n"/>
      <c r="F31" s="32" t="n"/>
    </row>
    <row r="33" ht="26" customHeight="1">
      <c r="A33" s="29" t="inlineStr">
        <is>
          <t>MAXIMUM YOU SHOULD PAY</t>
        </is>
      </c>
      <c r="D33" s="30">
        <f>$D$26-$D$26*'Your Deal'!$D$37-'Budget &amp; Schedule'!$D$5-(('Your Deal'!$D$18*'Your Deal'!$D$20)*('Budget &amp; Schedule'!$D$8/12)+'Your Deal'!$D$18*('Your Deal'!$D$22/100))-'Your Deal'!$D$39</f>
        <v/>
      </c>
      <c r="E33" s="31" t="n"/>
      <c r="F33" s="32" t="n"/>
    </row>
    <row r="35" ht="22" customHeight="1">
      <c r="A35" s="7" t="inlineStr">
        <is>
          <t>You are paying</t>
        </is>
      </c>
      <c r="D35" s="26">
        <f>'Your Deal'!$D$11</f>
        <v/>
      </c>
      <c r="E35" s="31" t="n"/>
      <c r="F35" s="32" t="n"/>
    </row>
    <row r="36" ht="22" customHeight="1">
      <c r="A36" s="28" t="inlineStr">
        <is>
          <t>Under / (over) your ceiling</t>
        </is>
      </c>
      <c r="D36" s="26">
        <f>IF('Your Deal'!$D$11=0,"",'Comps &amp; Buy Box'!$D$33-'Your Deal'!$D$11)</f>
        <v/>
      </c>
      <c r="E36" s="31" t="n"/>
      <c r="F36" s="32" t="n"/>
    </row>
    <row r="38" ht="16" customHeight="1">
      <c r="A38" s="17" t="inlineStr">
        <is>
          <t>Green means the deal clears your profit target at these numbers. Red means it does not.</t>
        </is>
      </c>
    </row>
  </sheetData>
  <mergeCells count="22">
    <mergeCell ref="A25:C25"/>
    <mergeCell ref="A1:H1"/>
    <mergeCell ref="A26:C26"/>
    <mergeCell ref="A33:C33"/>
    <mergeCell ref="D28:F28"/>
    <mergeCell ref="D30:F30"/>
    <mergeCell ref="A35:C35"/>
    <mergeCell ref="D25:F25"/>
    <mergeCell ref="A29:C29"/>
    <mergeCell ref="D33:F33"/>
    <mergeCell ref="A28:C28"/>
    <mergeCell ref="D29:F29"/>
    <mergeCell ref="A2:H2"/>
    <mergeCell ref="A31:C31"/>
    <mergeCell ref="D35:F35"/>
    <mergeCell ref="D26:F26"/>
    <mergeCell ref="A30:C30"/>
    <mergeCell ref="A23:H23"/>
    <mergeCell ref="A36:C36"/>
    <mergeCell ref="D31:F31"/>
    <mergeCell ref="A38:H38"/>
    <mergeCell ref="D36:F36"/>
  </mergeCells>
  <conditionalFormatting sqref="D36:F36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H7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32" customWidth="1" min="3" max="3"/>
    <col width="8" customWidth="1" min="4" max="4"/>
    <col width="14" customWidth="1" min="5" max="5"/>
    <col width="9" customWidth="1" min="6" max="6"/>
    <col hidden="1" width="13" customWidth="1" min="8" max="8"/>
  </cols>
  <sheetData>
    <row r="1" ht="38" customHeight="1">
      <c r="A1" s="1" t="inlineStr">
        <is>
          <t>Scope &amp; Phases</t>
        </is>
      </c>
    </row>
    <row r="2" ht="20" customHeight="1">
      <c r="A2" s="3" t="inlineStr">
        <is>
          <t>Everything a flip can need is already listed. Untick what this house does not.</t>
        </is>
      </c>
    </row>
    <row r="3" ht="4" customHeight="1">
      <c r="A3" s="4" t="n"/>
      <c r="B3" s="4" t="n"/>
      <c r="C3" s="4" t="n"/>
      <c r="D3" s="4" t="n"/>
      <c r="E3" s="4" t="n"/>
      <c r="F3" s="4" t="n"/>
    </row>
    <row r="6" ht="16" customHeight="1">
      <c r="A6" s="17" t="inlineStr">
        <is>
          <t>Pre-ticked for a medium-scope flip.  Put an x to include a job, clear the cell to drop it.  Budget and days fill in from your bids.</t>
        </is>
      </c>
    </row>
    <row r="7" ht="26" customHeight="1">
      <c r="A7" s="19" t="inlineStr">
        <is>
          <t>Ph</t>
        </is>
      </c>
      <c r="B7" s="19" t="inlineStr">
        <is>
          <t>Phase</t>
        </is>
      </c>
      <c r="C7" s="19" t="inlineStr">
        <is>
          <t>Category</t>
        </is>
      </c>
      <c r="D7" s="19" t="inlineStr">
        <is>
          <t>Use?</t>
        </is>
      </c>
      <c r="E7" s="19" t="inlineStr">
        <is>
          <t>Budget</t>
        </is>
      </c>
      <c r="F7" s="19" t="inlineStr">
        <is>
          <t>Days</t>
        </is>
      </c>
    </row>
    <row r="8" ht="18" customHeight="1">
      <c r="A8" s="33" t="inlineStr">
        <is>
          <t>A</t>
        </is>
      </c>
      <c r="B8" s="34" t="inlineStr">
        <is>
          <t>Pre-Construction &amp; General Conditions</t>
        </is>
      </c>
      <c r="C8" s="34" t="inlineStr">
        <is>
          <t>Permits &amp; Plan Review</t>
        </is>
      </c>
      <c r="D8" s="35" t="inlineStr">
        <is>
          <t>x</t>
        </is>
      </c>
      <c r="E8" s="36">
        <f>'Bid Comparison'!N8</f>
        <v/>
      </c>
      <c r="F8" s="37">
        <f>'Bid Comparison'!O8</f>
        <v/>
      </c>
      <c r="H8">
        <f>IF(D8="x",A8&amp;"-"&amp;COUNTIFS($A$8:A8,A8,$D$8:D8,"x"),"")</f>
        <v/>
      </c>
    </row>
    <row r="9" ht="18" customHeight="1">
      <c r="A9" s="38" t="inlineStr">
        <is>
          <t>A</t>
        </is>
      </c>
      <c r="B9" s="60" t="inlineStr"/>
      <c r="C9" s="60" t="inlineStr">
        <is>
          <t>Design &amp; Drafting</t>
        </is>
      </c>
      <c r="D9" s="40" t="inlineStr"/>
      <c r="E9" s="41">
        <f>'Bid Comparison'!N9</f>
        <v/>
      </c>
      <c r="F9" s="42">
        <f>'Bid Comparison'!O9</f>
        <v/>
      </c>
      <c r="H9">
        <f>IF(D9="x",A9&amp;"-"&amp;COUNTIFS($A$8:A9,A9,$D$8:D9,"x"),"")</f>
        <v/>
      </c>
    </row>
    <row r="10" ht="18" customHeight="1">
      <c r="A10" s="38" t="inlineStr">
        <is>
          <t>A</t>
        </is>
      </c>
      <c r="B10" s="60" t="inlineStr"/>
      <c r="C10" s="60" t="inlineStr">
        <is>
          <t>Feasibility &amp; Inspections</t>
        </is>
      </c>
      <c r="D10" s="40" t="inlineStr">
        <is>
          <t>x</t>
        </is>
      </c>
      <c r="E10" s="41">
        <f>'Bid Comparison'!N10</f>
        <v/>
      </c>
      <c r="F10" s="42">
        <f>'Bid Comparison'!O10</f>
        <v/>
      </c>
      <c r="H10">
        <f>IF(D10="x",A10&amp;"-"&amp;COUNTIFS($A$8:A10,A10,$D$8:D10,"x"),"")</f>
        <v/>
      </c>
    </row>
    <row r="11" ht="18" customHeight="1">
      <c r="A11" s="38" t="inlineStr">
        <is>
          <t>A</t>
        </is>
      </c>
      <c r="B11" s="60" t="inlineStr"/>
      <c r="C11" s="60" t="inlineStr">
        <is>
          <t>Impact &amp; Utility Connection Fees</t>
        </is>
      </c>
      <c r="D11" s="40" t="inlineStr"/>
      <c r="E11" s="41">
        <f>'Bid Comparison'!N11</f>
        <v/>
      </c>
      <c r="F11" s="42">
        <f>'Bid Comparison'!O11</f>
        <v/>
      </c>
      <c r="H11">
        <f>IF(D11="x",A11&amp;"-"&amp;COUNTIFS($A$8:A11,A11,$D$8:D11,"x"),"")</f>
        <v/>
      </c>
    </row>
    <row r="12" ht="18" customHeight="1">
      <c r="A12" s="38" t="inlineStr">
        <is>
          <t>A</t>
        </is>
      </c>
      <c r="B12" s="60" t="inlineStr"/>
      <c r="C12" s="60" t="inlineStr">
        <is>
          <t>Insurance</t>
        </is>
      </c>
      <c r="D12" s="40" t="inlineStr">
        <is>
          <t>x</t>
        </is>
      </c>
      <c r="E12" s="41">
        <f>'Bid Comparison'!N12</f>
        <v/>
      </c>
      <c r="F12" s="42">
        <f>'Bid Comparison'!O12</f>
        <v/>
      </c>
      <c r="H12">
        <f>IF(D12="x",A12&amp;"-"&amp;COUNTIFS($A$8:A12,A12,$D$8:D12,"x"),"")</f>
        <v/>
      </c>
    </row>
    <row r="13" ht="18" customHeight="1">
      <c r="A13" s="38" t="inlineStr">
        <is>
          <t>A</t>
        </is>
      </c>
      <c r="B13" s="60" t="inlineStr"/>
      <c r="C13" s="60" t="inlineStr">
        <is>
          <t>Utility Setup &amp; Deposits</t>
        </is>
      </c>
      <c r="D13" s="40" t="inlineStr">
        <is>
          <t>x</t>
        </is>
      </c>
      <c r="E13" s="41">
        <f>'Bid Comparison'!N13</f>
        <v/>
      </c>
      <c r="F13" s="42">
        <f>'Bid Comparison'!O13</f>
        <v/>
      </c>
      <c r="H13">
        <f>IF(D13="x",A13&amp;"-"&amp;COUNTIFS($A$8:A13,A13,$D$8:D13,"x"),"")</f>
        <v/>
      </c>
    </row>
    <row r="14" ht="18" customHeight="1">
      <c r="A14" s="38" t="inlineStr">
        <is>
          <t>A</t>
        </is>
      </c>
      <c r="B14" s="60" t="inlineStr"/>
      <c r="C14" s="60" t="inlineStr">
        <is>
          <t>General Conditions &amp; Supervision</t>
        </is>
      </c>
      <c r="D14" s="40" t="inlineStr">
        <is>
          <t>x</t>
        </is>
      </c>
      <c r="E14" s="41">
        <f>'Bid Comparison'!N14</f>
        <v/>
      </c>
      <c r="F14" s="42">
        <f>'Bid Comparison'!O14</f>
        <v/>
      </c>
      <c r="H14">
        <f>IF(D14="x",A14&amp;"-"&amp;COUNTIFS($A$8:A14,A14,$D$8:D14,"x"),"")</f>
        <v/>
      </c>
    </row>
    <row r="15" ht="18" customHeight="1">
      <c r="A15" s="38" t="inlineStr">
        <is>
          <t>A</t>
        </is>
      </c>
      <c r="B15" s="60" t="inlineStr"/>
      <c r="C15" s="60" t="inlineStr">
        <is>
          <t>Contingency Reserve</t>
        </is>
      </c>
      <c r="D15" s="40" t="inlineStr">
        <is>
          <t>x</t>
        </is>
      </c>
      <c r="E15" s="41">
        <f>'Bid Comparison'!N15</f>
        <v/>
      </c>
      <c r="F15" s="42">
        <f>'Bid Comparison'!O15</f>
        <v/>
      </c>
      <c r="H15">
        <f>IF(D15="x",A15&amp;"-"&amp;COUNTIFS($A$8:A15,A15,$D$8:D15,"x"),"")</f>
        <v/>
      </c>
    </row>
    <row r="16" ht="18" customHeight="1">
      <c r="A16" s="33" t="inlineStr">
        <is>
          <t>1</t>
        </is>
      </c>
      <c r="B16" s="34" t="inlineStr">
        <is>
          <t>Demolition, Foundation &amp; Underground</t>
        </is>
      </c>
      <c r="C16" s="34" t="inlineStr">
        <is>
          <t>Mobilization</t>
        </is>
      </c>
      <c r="D16" s="35" t="inlineStr">
        <is>
          <t>x</t>
        </is>
      </c>
      <c r="E16" s="36">
        <f>'Bid Comparison'!N16</f>
        <v/>
      </c>
      <c r="F16" s="37">
        <f>'Bid Comparison'!O16</f>
        <v/>
      </c>
      <c r="H16">
        <f>IF(D16="x",A16&amp;"-"&amp;COUNTIFS($A$8:A16,A16,$D$8:D16,"x"),"")</f>
        <v/>
      </c>
    </row>
    <row r="17" ht="18" customHeight="1">
      <c r="A17" s="38" t="inlineStr">
        <is>
          <t>1</t>
        </is>
      </c>
      <c r="B17" s="60" t="inlineStr"/>
      <c r="C17" s="60" t="inlineStr">
        <is>
          <t>Hazmat Abatement</t>
        </is>
      </c>
      <c r="D17" s="40" t="inlineStr"/>
      <c r="E17" s="41">
        <f>'Bid Comparison'!N17</f>
        <v/>
      </c>
      <c r="F17" s="42">
        <f>'Bid Comparison'!O17</f>
        <v/>
      </c>
      <c r="H17">
        <f>IF(D17="x",A17&amp;"-"&amp;COUNTIFS($A$8:A17,A17,$D$8:D17,"x"),"")</f>
        <v/>
      </c>
    </row>
    <row r="18" ht="18" customHeight="1">
      <c r="A18" s="38" t="inlineStr">
        <is>
          <t>1</t>
        </is>
      </c>
      <c r="B18" s="60" t="inlineStr"/>
      <c r="C18" s="60" t="inlineStr">
        <is>
          <t>Selective Demolition</t>
        </is>
      </c>
      <c r="D18" s="40" t="inlineStr">
        <is>
          <t>x</t>
        </is>
      </c>
      <c r="E18" s="41">
        <f>'Bid Comparison'!N18</f>
        <v/>
      </c>
      <c r="F18" s="42">
        <f>'Bid Comparison'!O18</f>
        <v/>
      </c>
      <c r="H18">
        <f>IF(D18="x",A18&amp;"-"&amp;COUNTIFS($A$8:A18,A18,$D$8:D18,"x"),"")</f>
        <v/>
      </c>
    </row>
    <row r="19" ht="18" customHeight="1">
      <c r="A19" s="38" t="inlineStr">
        <is>
          <t>1</t>
        </is>
      </c>
      <c r="B19" s="60" t="inlineStr"/>
      <c r="C19" s="60" t="inlineStr">
        <is>
          <t>Excavation &amp; Grading</t>
        </is>
      </c>
      <c r="D19" s="40" t="inlineStr"/>
      <c r="E19" s="41">
        <f>'Bid Comparison'!N19</f>
        <v/>
      </c>
      <c r="F19" s="42">
        <f>'Bid Comparison'!O19</f>
        <v/>
      </c>
      <c r="H19">
        <f>IF(D19="x",A19&amp;"-"&amp;COUNTIFS($A$8:A19,A19,$D$8:D19,"x"),"")</f>
        <v/>
      </c>
    </row>
    <row r="20" ht="18" customHeight="1">
      <c r="A20" s="38" t="inlineStr">
        <is>
          <t>1</t>
        </is>
      </c>
      <c r="B20" s="60" t="inlineStr"/>
      <c r="C20" s="60" t="inlineStr">
        <is>
          <t>Foundation &amp; Slab</t>
        </is>
      </c>
      <c r="D20" s="40" t="inlineStr"/>
      <c r="E20" s="41">
        <f>'Bid Comparison'!N20</f>
        <v/>
      </c>
      <c r="F20" s="42">
        <f>'Bid Comparison'!O20</f>
        <v/>
      </c>
      <c r="H20">
        <f>IF(D20="x",A20&amp;"-"&amp;COUNTIFS($A$8:A20,A20,$D$8:D20,"x"),"")</f>
        <v/>
      </c>
    </row>
    <row r="21" ht="18" customHeight="1">
      <c r="A21" s="38" t="inlineStr">
        <is>
          <t>1</t>
        </is>
      </c>
      <c r="B21" s="60" t="inlineStr"/>
      <c r="C21" s="60" t="inlineStr">
        <is>
          <t>Underground Plumbing</t>
        </is>
      </c>
      <c r="D21" s="40" t="inlineStr"/>
      <c r="E21" s="41">
        <f>'Bid Comparison'!N21</f>
        <v/>
      </c>
      <c r="F21" s="42">
        <f>'Bid Comparison'!O21</f>
        <v/>
      </c>
      <c r="H21">
        <f>IF(D21="x",A21&amp;"-"&amp;COUNTIFS($A$8:A21,A21,$D$8:D21,"x"),"")</f>
        <v/>
      </c>
    </row>
    <row r="22" ht="18" customHeight="1">
      <c r="A22" s="38" t="inlineStr">
        <is>
          <t>1</t>
        </is>
      </c>
      <c r="B22" s="60" t="inlineStr"/>
      <c r="C22" s="60" t="inlineStr">
        <is>
          <t>Septic</t>
        </is>
      </c>
      <c r="D22" s="40" t="inlineStr"/>
      <c r="E22" s="41">
        <f>'Bid Comparison'!N22</f>
        <v/>
      </c>
      <c r="F22" s="42">
        <f>'Bid Comparison'!O22</f>
        <v/>
      </c>
      <c r="H22">
        <f>IF(D22="x",A22&amp;"-"&amp;COUNTIFS($A$8:A22,A22,$D$8:D22,"x"),"")</f>
        <v/>
      </c>
    </row>
    <row r="23" ht="18" customHeight="1">
      <c r="A23" s="38" t="inlineStr">
        <is>
          <t>1</t>
        </is>
      </c>
      <c r="B23" s="60" t="inlineStr"/>
      <c r="C23" s="60" t="inlineStr">
        <is>
          <t>Underground Electrical &amp; Service</t>
        </is>
      </c>
      <c r="D23" s="40" t="inlineStr"/>
      <c r="E23" s="41">
        <f>'Bid Comparison'!N23</f>
        <v/>
      </c>
      <c r="F23" s="42">
        <f>'Bid Comparison'!O23</f>
        <v/>
      </c>
      <c r="H23">
        <f>IF(D23="x",A23&amp;"-"&amp;COUNTIFS($A$8:A23,A23,$D$8:D23,"x"),"")</f>
        <v/>
      </c>
    </row>
    <row r="24" ht="18" customHeight="1">
      <c r="A24" s="38" t="inlineStr">
        <is>
          <t>1</t>
        </is>
      </c>
      <c r="B24" s="60" t="inlineStr"/>
      <c r="C24" s="60" t="inlineStr">
        <is>
          <t>Pest &amp; Soil Treatment</t>
        </is>
      </c>
      <c r="D24" s="40" t="inlineStr">
        <is>
          <t>x</t>
        </is>
      </c>
      <c r="E24" s="41">
        <f>'Bid Comparison'!N24</f>
        <v/>
      </c>
      <c r="F24" s="42">
        <f>'Bid Comparison'!O24</f>
        <v/>
      </c>
      <c r="H24">
        <f>IF(D24="x",A24&amp;"-"&amp;COUNTIFS($A$8:A24,A24,$D$8:D24,"x"),"")</f>
        <v/>
      </c>
    </row>
    <row r="25" ht="18" customHeight="1">
      <c r="A25" s="33" t="inlineStr">
        <is>
          <t>2</t>
        </is>
      </c>
      <c r="B25" s="34" t="inlineStr">
        <is>
          <t>Framing, Roofing &amp; Rough MEP</t>
        </is>
      </c>
      <c r="C25" s="34" t="inlineStr">
        <is>
          <t>Framing Labor</t>
        </is>
      </c>
      <c r="D25" s="35" t="inlineStr">
        <is>
          <t>x</t>
        </is>
      </c>
      <c r="E25" s="36">
        <f>'Bid Comparison'!N25</f>
        <v/>
      </c>
      <c r="F25" s="37">
        <f>'Bid Comparison'!O25</f>
        <v/>
      </c>
      <c r="H25">
        <f>IF(D25="x",A25&amp;"-"&amp;COUNTIFS($A$8:A25,A25,$D$8:D25,"x"),"")</f>
        <v/>
      </c>
    </row>
    <row r="26" ht="18" customHeight="1">
      <c r="A26" s="38" t="inlineStr">
        <is>
          <t>2</t>
        </is>
      </c>
      <c r="B26" s="60" t="inlineStr"/>
      <c r="C26" s="60" t="inlineStr">
        <is>
          <t>Framing Material</t>
        </is>
      </c>
      <c r="D26" s="40" t="inlineStr">
        <is>
          <t>x</t>
        </is>
      </c>
      <c r="E26" s="41">
        <f>'Bid Comparison'!N26</f>
        <v/>
      </c>
      <c r="F26" s="42">
        <f>'Bid Comparison'!O26</f>
        <v/>
      </c>
      <c r="H26">
        <f>IF(D26="x",A26&amp;"-"&amp;COUNTIFS($A$8:A26,A26,$D$8:D26,"x"),"")</f>
        <v/>
      </c>
    </row>
    <row r="27" ht="18" customHeight="1">
      <c r="A27" s="38" t="inlineStr">
        <is>
          <t>2</t>
        </is>
      </c>
      <c r="B27" s="60" t="inlineStr"/>
      <c r="C27" s="60" t="inlineStr">
        <is>
          <t>Structural Steel &amp; Beams</t>
        </is>
      </c>
      <c r="D27" s="40" t="inlineStr"/>
      <c r="E27" s="41">
        <f>'Bid Comparison'!N27</f>
        <v/>
      </c>
      <c r="F27" s="42">
        <f>'Bid Comparison'!O27</f>
        <v/>
      </c>
      <c r="H27">
        <f>IF(D27="x",A27&amp;"-"&amp;COUNTIFS($A$8:A27,A27,$D$8:D27,"x"),"")</f>
        <v/>
      </c>
    </row>
    <row r="28" ht="18" customHeight="1">
      <c r="A28" s="38" t="inlineStr">
        <is>
          <t>2</t>
        </is>
      </c>
      <c r="B28" s="60" t="inlineStr"/>
      <c r="C28" s="60" t="inlineStr">
        <is>
          <t>Roofing</t>
        </is>
      </c>
      <c r="D28" s="40" t="inlineStr">
        <is>
          <t>x</t>
        </is>
      </c>
      <c r="E28" s="41">
        <f>'Bid Comparison'!N28</f>
        <v/>
      </c>
      <c r="F28" s="42">
        <f>'Bid Comparison'!O28</f>
        <v/>
      </c>
      <c r="H28">
        <f>IF(D28="x",A28&amp;"-"&amp;COUNTIFS($A$8:A28,A28,$D$8:D28,"x"),"")</f>
        <v/>
      </c>
    </row>
    <row r="29" ht="18" customHeight="1">
      <c r="A29" s="38" t="inlineStr">
        <is>
          <t>2</t>
        </is>
      </c>
      <c r="B29" s="60" t="inlineStr"/>
      <c r="C29" s="60" t="inlineStr">
        <is>
          <t>Windows &amp; Exterior Doors</t>
        </is>
      </c>
      <c r="D29" s="40" t="inlineStr">
        <is>
          <t>x</t>
        </is>
      </c>
      <c r="E29" s="41">
        <f>'Bid Comparison'!N29</f>
        <v/>
      </c>
      <c r="F29" s="42">
        <f>'Bid Comparison'!O29</f>
        <v/>
      </c>
      <c r="H29">
        <f>IF(D29="x",A29&amp;"-"&amp;COUNTIFS($A$8:A29,A29,$D$8:D29,"x"),"")</f>
        <v/>
      </c>
    </row>
    <row r="30" ht="18" customHeight="1">
      <c r="A30" s="38" t="inlineStr">
        <is>
          <t>2</t>
        </is>
      </c>
      <c r="B30" s="60" t="inlineStr"/>
      <c r="C30" s="60" t="inlineStr">
        <is>
          <t>Rough Plumbing</t>
        </is>
      </c>
      <c r="D30" s="40" t="inlineStr">
        <is>
          <t>x</t>
        </is>
      </c>
      <c r="E30" s="41">
        <f>'Bid Comparison'!N30</f>
        <v/>
      </c>
      <c r="F30" s="42">
        <f>'Bid Comparison'!O30</f>
        <v/>
      </c>
      <c r="H30">
        <f>IF(D30="x",A30&amp;"-"&amp;COUNTIFS($A$8:A30,A30,$D$8:D30,"x"),"")</f>
        <v/>
      </c>
    </row>
    <row r="31" ht="18" customHeight="1">
      <c r="A31" s="38" t="inlineStr">
        <is>
          <t>2</t>
        </is>
      </c>
      <c r="B31" s="60" t="inlineStr"/>
      <c r="C31" s="60" t="inlineStr">
        <is>
          <t>Rough Electrical</t>
        </is>
      </c>
      <c r="D31" s="40" t="inlineStr">
        <is>
          <t>x</t>
        </is>
      </c>
      <c r="E31" s="41">
        <f>'Bid Comparison'!N31</f>
        <v/>
      </c>
      <c r="F31" s="42">
        <f>'Bid Comparison'!O31</f>
        <v/>
      </c>
      <c r="H31">
        <f>IF(D31="x",A31&amp;"-"&amp;COUNTIFS($A$8:A31,A31,$D$8:D31,"x"),"")</f>
        <v/>
      </c>
    </row>
    <row r="32" ht="18" customHeight="1">
      <c r="A32" s="38" t="inlineStr">
        <is>
          <t>2</t>
        </is>
      </c>
      <c r="B32" s="60" t="inlineStr"/>
      <c r="C32" s="60" t="inlineStr">
        <is>
          <t>Rough HVAC</t>
        </is>
      </c>
      <c r="D32" s="40" t="inlineStr">
        <is>
          <t>x</t>
        </is>
      </c>
      <c r="E32" s="41">
        <f>'Bid Comparison'!N32</f>
        <v/>
      </c>
      <c r="F32" s="42">
        <f>'Bid Comparison'!O32</f>
        <v/>
      </c>
      <c r="H32">
        <f>IF(D32="x",A32&amp;"-"&amp;COUNTIFS($A$8:A32,A32,$D$8:D32,"x"),"")</f>
        <v/>
      </c>
    </row>
    <row r="33" ht="18" customHeight="1">
      <c r="A33" s="38" t="inlineStr">
        <is>
          <t>2</t>
        </is>
      </c>
      <c r="B33" s="60" t="inlineStr"/>
      <c r="C33" s="60" t="inlineStr">
        <is>
          <t>Low Voltage Rough</t>
        </is>
      </c>
      <c r="D33" s="40" t="inlineStr"/>
      <c r="E33" s="41">
        <f>'Bid Comparison'!N33</f>
        <v/>
      </c>
      <c r="F33" s="42">
        <f>'Bid Comparison'!O33</f>
        <v/>
      </c>
      <c r="H33">
        <f>IF(D33="x",A33&amp;"-"&amp;COUNTIFS($A$8:A33,A33,$D$8:D33,"x"),"")</f>
        <v/>
      </c>
    </row>
    <row r="34" ht="18" customHeight="1">
      <c r="A34" s="38" t="inlineStr">
        <is>
          <t>2</t>
        </is>
      </c>
      <c r="B34" s="60" t="inlineStr"/>
      <c r="C34" s="60" t="inlineStr">
        <is>
          <t>Rough Inspections</t>
        </is>
      </c>
      <c r="D34" s="40" t="inlineStr">
        <is>
          <t>x</t>
        </is>
      </c>
      <c r="E34" s="41">
        <f>'Bid Comparison'!N34</f>
        <v/>
      </c>
      <c r="F34" s="42">
        <f>'Bid Comparison'!O34</f>
        <v/>
      </c>
      <c r="H34">
        <f>IF(D34="x",A34&amp;"-"&amp;COUNTIFS($A$8:A34,A34,$D$8:D34,"x"),"")</f>
        <v/>
      </c>
    </row>
    <row r="35" ht="18" customHeight="1">
      <c r="A35" s="33" t="inlineStr">
        <is>
          <t>3</t>
        </is>
      </c>
      <c r="B35" s="34" t="inlineStr">
        <is>
          <t>Insulation, Drywall, Doors, Trim &amp; Paint</t>
        </is>
      </c>
      <c r="C35" s="34" t="inlineStr">
        <is>
          <t>Insulation</t>
        </is>
      </c>
      <c r="D35" s="35" t="inlineStr">
        <is>
          <t>x</t>
        </is>
      </c>
      <c r="E35" s="36">
        <f>'Bid Comparison'!N35</f>
        <v/>
      </c>
      <c r="F35" s="37">
        <f>'Bid Comparison'!O35</f>
        <v/>
      </c>
      <c r="H35">
        <f>IF(D35="x",A35&amp;"-"&amp;COUNTIFS($A$8:A35,A35,$D$8:D35,"x"),"")</f>
        <v/>
      </c>
    </row>
    <row r="36" ht="18" customHeight="1">
      <c r="A36" s="38" t="inlineStr">
        <is>
          <t>3</t>
        </is>
      </c>
      <c r="B36" s="60" t="inlineStr"/>
      <c r="C36" s="60" t="inlineStr">
        <is>
          <t>Drywall</t>
        </is>
      </c>
      <c r="D36" s="40" t="inlineStr">
        <is>
          <t>x</t>
        </is>
      </c>
      <c r="E36" s="41">
        <f>'Bid Comparison'!N36</f>
        <v/>
      </c>
      <c r="F36" s="42">
        <f>'Bid Comparison'!O36</f>
        <v/>
      </c>
      <c r="H36">
        <f>IF(D36="x",A36&amp;"-"&amp;COUNTIFS($A$8:A36,A36,$D$8:D36,"x"),"")</f>
        <v/>
      </c>
    </row>
    <row r="37" ht="18" customHeight="1">
      <c r="A37" s="38" t="inlineStr">
        <is>
          <t>3</t>
        </is>
      </c>
      <c r="B37" s="60" t="inlineStr"/>
      <c r="C37" s="60" t="inlineStr">
        <is>
          <t>Interior Doors</t>
        </is>
      </c>
      <c r="D37" s="40" t="inlineStr">
        <is>
          <t>x</t>
        </is>
      </c>
      <c r="E37" s="41">
        <f>'Bid Comparison'!N37</f>
        <v/>
      </c>
      <c r="F37" s="42">
        <f>'Bid Comparison'!O37</f>
        <v/>
      </c>
      <c r="H37">
        <f>IF(D37="x",A37&amp;"-"&amp;COUNTIFS($A$8:A37,A37,$D$8:D37,"x"),"")</f>
        <v/>
      </c>
    </row>
    <row r="38" ht="18" customHeight="1">
      <c r="A38" s="38" t="inlineStr">
        <is>
          <t>3</t>
        </is>
      </c>
      <c r="B38" s="60" t="inlineStr"/>
      <c r="C38" s="60" t="inlineStr">
        <is>
          <t>Trim &amp; Millwork</t>
        </is>
      </c>
      <c r="D38" s="40" t="inlineStr">
        <is>
          <t>x</t>
        </is>
      </c>
      <c r="E38" s="41">
        <f>'Bid Comparison'!N38</f>
        <v/>
      </c>
      <c r="F38" s="42">
        <f>'Bid Comparison'!O38</f>
        <v/>
      </c>
      <c r="H38">
        <f>IF(D38="x",A38&amp;"-"&amp;COUNTIFS($A$8:A38,A38,$D$8:D38,"x"),"")</f>
        <v/>
      </c>
    </row>
    <row r="39" ht="18" customHeight="1">
      <c r="A39" s="38" t="inlineStr">
        <is>
          <t>3</t>
        </is>
      </c>
      <c r="B39" s="60" t="inlineStr"/>
      <c r="C39" s="60" t="inlineStr">
        <is>
          <t>Stairs &amp; Railings</t>
        </is>
      </c>
      <c r="D39" s="40" t="inlineStr"/>
      <c r="E39" s="41">
        <f>'Bid Comparison'!N39</f>
        <v/>
      </c>
      <c r="F39" s="42">
        <f>'Bid Comparison'!O39</f>
        <v/>
      </c>
      <c r="H39">
        <f>IF(D39="x",A39&amp;"-"&amp;COUNTIFS($A$8:A39,A39,$D$8:D39,"x"),"")</f>
        <v/>
      </c>
    </row>
    <row r="40" ht="18" customHeight="1">
      <c r="A40" s="38" t="inlineStr">
        <is>
          <t>3</t>
        </is>
      </c>
      <c r="B40" s="60" t="inlineStr"/>
      <c r="C40" s="60" t="inlineStr">
        <is>
          <t>Interior Paint</t>
        </is>
      </c>
      <c r="D40" s="40" t="inlineStr">
        <is>
          <t>x</t>
        </is>
      </c>
      <c r="E40" s="41">
        <f>'Bid Comparison'!N40</f>
        <v/>
      </c>
      <c r="F40" s="42">
        <f>'Bid Comparison'!O40</f>
        <v/>
      </c>
      <c r="H40">
        <f>IF(D40="x",A40&amp;"-"&amp;COUNTIFS($A$8:A40,A40,$D$8:D40,"x"),"")</f>
        <v/>
      </c>
    </row>
    <row r="41" ht="18" customHeight="1">
      <c r="A41" s="33" t="inlineStr">
        <is>
          <t>4</t>
        </is>
      </c>
      <c r="B41" s="34" t="inlineStr">
        <is>
          <t>Cabinets &amp; Countertops</t>
        </is>
      </c>
      <c r="C41" s="34" t="inlineStr">
        <is>
          <t>Kitchen Cabinets</t>
        </is>
      </c>
      <c r="D41" s="35" t="inlineStr">
        <is>
          <t>x</t>
        </is>
      </c>
      <c r="E41" s="36">
        <f>'Bid Comparison'!N41</f>
        <v/>
      </c>
      <c r="F41" s="37">
        <f>'Bid Comparison'!O41</f>
        <v/>
      </c>
      <c r="H41">
        <f>IF(D41="x",A41&amp;"-"&amp;COUNTIFS($A$8:A41,A41,$D$8:D41,"x"),"")</f>
        <v/>
      </c>
    </row>
    <row r="42" ht="18" customHeight="1">
      <c r="A42" s="38" t="inlineStr">
        <is>
          <t>4</t>
        </is>
      </c>
      <c r="B42" s="60" t="inlineStr"/>
      <c r="C42" s="60" t="inlineStr">
        <is>
          <t>Bath Vanities</t>
        </is>
      </c>
      <c r="D42" s="40" t="inlineStr">
        <is>
          <t>x</t>
        </is>
      </c>
      <c r="E42" s="41">
        <f>'Bid Comparison'!N42</f>
        <v/>
      </c>
      <c r="F42" s="42">
        <f>'Bid Comparison'!O42</f>
        <v/>
      </c>
      <c r="H42">
        <f>IF(D42="x",A42&amp;"-"&amp;COUNTIFS($A$8:A42,A42,$D$8:D42,"x"),"")</f>
        <v/>
      </c>
    </row>
    <row r="43" ht="18" customHeight="1">
      <c r="A43" s="38" t="inlineStr">
        <is>
          <t>4</t>
        </is>
      </c>
      <c r="B43" s="60" t="inlineStr"/>
      <c r="C43" s="60" t="inlineStr">
        <is>
          <t>Laundry &amp; Utility Cabinets</t>
        </is>
      </c>
      <c r="D43" s="40" t="inlineStr">
        <is>
          <t>x</t>
        </is>
      </c>
      <c r="E43" s="41">
        <f>'Bid Comparison'!N43</f>
        <v/>
      </c>
      <c r="F43" s="42">
        <f>'Bid Comparison'!O43</f>
        <v/>
      </c>
      <c r="H43">
        <f>IF(D43="x",A43&amp;"-"&amp;COUNTIFS($A$8:A43,A43,$D$8:D43,"x"),"")</f>
        <v/>
      </c>
    </row>
    <row r="44" ht="18" customHeight="1">
      <c r="A44" s="38" t="inlineStr">
        <is>
          <t>4</t>
        </is>
      </c>
      <c r="B44" s="60" t="inlineStr"/>
      <c r="C44" s="60" t="inlineStr">
        <is>
          <t>Closet Systems</t>
        </is>
      </c>
      <c r="D44" s="40" t="inlineStr"/>
      <c r="E44" s="41">
        <f>'Bid Comparison'!N44</f>
        <v/>
      </c>
      <c r="F44" s="42">
        <f>'Bid Comparison'!O44</f>
        <v/>
      </c>
      <c r="H44">
        <f>IF(D44="x",A44&amp;"-"&amp;COUNTIFS($A$8:A44,A44,$D$8:D44,"x"),"")</f>
        <v/>
      </c>
    </row>
    <row r="45" ht="18" customHeight="1">
      <c r="A45" s="38" t="inlineStr">
        <is>
          <t>4</t>
        </is>
      </c>
      <c r="B45" s="60" t="inlineStr"/>
      <c r="C45" s="60" t="inlineStr">
        <is>
          <t>Countertops</t>
        </is>
      </c>
      <c r="D45" s="40" t="inlineStr">
        <is>
          <t>x</t>
        </is>
      </c>
      <c r="E45" s="41">
        <f>'Bid Comparison'!N45</f>
        <v/>
      </c>
      <c r="F45" s="42">
        <f>'Bid Comparison'!O45</f>
        <v/>
      </c>
      <c r="H45">
        <f>IF(D45="x",A45&amp;"-"&amp;COUNTIFS($A$8:A45,A45,$D$8:D45,"x"),"")</f>
        <v/>
      </c>
    </row>
    <row r="46" ht="18" customHeight="1">
      <c r="A46" s="38" t="inlineStr">
        <is>
          <t>4</t>
        </is>
      </c>
      <c r="B46" s="60" t="inlineStr"/>
      <c r="C46" s="60" t="inlineStr">
        <is>
          <t>Cabinet Hardware</t>
        </is>
      </c>
      <c r="D46" s="40" t="inlineStr">
        <is>
          <t>x</t>
        </is>
      </c>
      <c r="E46" s="41">
        <f>'Bid Comparison'!N46</f>
        <v/>
      </c>
      <c r="F46" s="42">
        <f>'Bid Comparison'!O46</f>
        <v/>
      </c>
      <c r="H46">
        <f>IF(D46="x",A46&amp;"-"&amp;COUNTIFS($A$8:A46,A46,$D$8:D46,"x"),"")</f>
        <v/>
      </c>
    </row>
    <row r="47" ht="18" customHeight="1">
      <c r="A47" s="33" t="inlineStr">
        <is>
          <t>5</t>
        </is>
      </c>
      <c r="B47" s="34" t="inlineStr">
        <is>
          <t>Tile &amp; Flooring</t>
        </is>
      </c>
      <c r="C47" s="34" t="inlineStr">
        <is>
          <t>Floor Prep &amp; Leveling</t>
        </is>
      </c>
      <c r="D47" s="35" t="inlineStr">
        <is>
          <t>x</t>
        </is>
      </c>
      <c r="E47" s="36">
        <f>'Bid Comparison'!N47</f>
        <v/>
      </c>
      <c r="F47" s="37">
        <f>'Bid Comparison'!O47</f>
        <v/>
      </c>
      <c r="H47">
        <f>IF(D47="x",A47&amp;"-"&amp;COUNTIFS($A$8:A47,A47,$D$8:D47,"x"),"")</f>
        <v/>
      </c>
    </row>
    <row r="48" ht="18" customHeight="1">
      <c r="A48" s="38" t="inlineStr">
        <is>
          <t>5</t>
        </is>
      </c>
      <c r="B48" s="60" t="inlineStr"/>
      <c r="C48" s="60" t="inlineStr">
        <is>
          <t>Floor Tile</t>
        </is>
      </c>
      <c r="D48" s="40" t="inlineStr">
        <is>
          <t>x</t>
        </is>
      </c>
      <c r="E48" s="41">
        <f>'Bid Comparison'!N48</f>
        <v/>
      </c>
      <c r="F48" s="42">
        <f>'Bid Comparison'!O48</f>
        <v/>
      </c>
      <c r="H48">
        <f>IF(D48="x",A48&amp;"-"&amp;COUNTIFS($A$8:A48,A48,$D$8:D48,"x"),"")</f>
        <v/>
      </c>
    </row>
    <row r="49" ht="18" customHeight="1">
      <c r="A49" s="38" t="inlineStr">
        <is>
          <t>5</t>
        </is>
      </c>
      <c r="B49" s="60" t="inlineStr"/>
      <c r="C49" s="60" t="inlineStr">
        <is>
          <t>Shower &amp; Tub Surround Tile</t>
        </is>
      </c>
      <c r="D49" s="40" t="inlineStr">
        <is>
          <t>x</t>
        </is>
      </c>
      <c r="E49" s="41">
        <f>'Bid Comparison'!N49</f>
        <v/>
      </c>
      <c r="F49" s="42">
        <f>'Bid Comparison'!O49</f>
        <v/>
      </c>
      <c r="H49">
        <f>IF(D49="x",A49&amp;"-"&amp;COUNTIFS($A$8:A49,A49,$D$8:D49,"x"),"")</f>
        <v/>
      </c>
    </row>
    <row r="50" ht="18" customHeight="1">
      <c r="A50" s="38" t="inlineStr">
        <is>
          <t>5</t>
        </is>
      </c>
      <c r="B50" s="60" t="inlineStr"/>
      <c r="C50" s="60" t="inlineStr">
        <is>
          <t>Backsplash Tile</t>
        </is>
      </c>
      <c r="D50" s="40" t="inlineStr">
        <is>
          <t>x</t>
        </is>
      </c>
      <c r="E50" s="41">
        <f>'Bid Comparison'!N50</f>
        <v/>
      </c>
      <c r="F50" s="42">
        <f>'Bid Comparison'!O50</f>
        <v/>
      </c>
      <c r="H50">
        <f>IF(D50="x",A50&amp;"-"&amp;COUNTIFS($A$8:A50,A50,$D$8:D50,"x"),"")</f>
        <v/>
      </c>
    </row>
    <row r="51" ht="18" customHeight="1">
      <c r="A51" s="38" t="inlineStr">
        <is>
          <t>5</t>
        </is>
      </c>
      <c r="B51" s="60" t="inlineStr"/>
      <c r="C51" s="60" t="inlineStr">
        <is>
          <t>LVP / Hardwood / Laminate</t>
        </is>
      </c>
      <c r="D51" s="40" t="inlineStr">
        <is>
          <t>x</t>
        </is>
      </c>
      <c r="E51" s="41">
        <f>'Bid Comparison'!N51</f>
        <v/>
      </c>
      <c r="F51" s="42">
        <f>'Bid Comparison'!O51</f>
        <v/>
      </c>
      <c r="H51">
        <f>IF(D51="x",A51&amp;"-"&amp;COUNTIFS($A$8:A51,A51,$D$8:D51,"x"),"")</f>
        <v/>
      </c>
    </row>
    <row r="52" ht="18" customHeight="1">
      <c r="A52" s="38" t="inlineStr">
        <is>
          <t>5</t>
        </is>
      </c>
      <c r="B52" s="60" t="inlineStr"/>
      <c r="C52" s="60" t="inlineStr">
        <is>
          <t>Grout, Sealer &amp; Trim Pieces</t>
        </is>
      </c>
      <c r="D52" s="40" t="inlineStr">
        <is>
          <t>x</t>
        </is>
      </c>
      <c r="E52" s="41">
        <f>'Bid Comparison'!N52</f>
        <v/>
      </c>
      <c r="F52" s="42">
        <f>'Bid Comparison'!O52</f>
        <v/>
      </c>
      <c r="H52">
        <f>IF(D52="x",A52&amp;"-"&amp;COUNTIFS($A$8:A52,A52,$D$8:D52,"x"),"")</f>
        <v/>
      </c>
    </row>
    <row r="53" ht="18" customHeight="1">
      <c r="A53" s="33" t="inlineStr">
        <is>
          <t>6</t>
        </is>
      </c>
      <c r="B53" s="34" t="inlineStr">
        <is>
          <t>Exterior &amp; Landscaping</t>
        </is>
      </c>
      <c r="C53" s="34" t="inlineStr">
        <is>
          <t>Stucco / Siding</t>
        </is>
      </c>
      <c r="D53" s="35" t="inlineStr">
        <is>
          <t>x</t>
        </is>
      </c>
      <c r="E53" s="36">
        <f>'Bid Comparison'!N53</f>
        <v/>
      </c>
      <c r="F53" s="37">
        <f>'Bid Comparison'!O53</f>
        <v/>
      </c>
      <c r="H53">
        <f>IF(D53="x",A53&amp;"-"&amp;COUNTIFS($A$8:A53,A53,$D$8:D53,"x"),"")</f>
        <v/>
      </c>
    </row>
    <row r="54" ht="18" customHeight="1">
      <c r="A54" s="38" t="inlineStr">
        <is>
          <t>6</t>
        </is>
      </c>
      <c r="B54" s="60" t="inlineStr"/>
      <c r="C54" s="60" t="inlineStr">
        <is>
          <t>Fascia, Soffit &amp; Gutters</t>
        </is>
      </c>
      <c r="D54" s="40" t="inlineStr">
        <is>
          <t>x</t>
        </is>
      </c>
      <c r="E54" s="41">
        <f>'Bid Comparison'!N54</f>
        <v/>
      </c>
      <c r="F54" s="42">
        <f>'Bid Comparison'!O54</f>
        <v/>
      </c>
      <c r="H54">
        <f>IF(D54="x",A54&amp;"-"&amp;COUNTIFS($A$8:A54,A54,$D$8:D54,"x"),"")</f>
        <v/>
      </c>
    </row>
    <row r="55" ht="18" customHeight="1">
      <c r="A55" s="38" t="inlineStr">
        <is>
          <t>6</t>
        </is>
      </c>
      <c r="B55" s="60" t="inlineStr"/>
      <c r="C55" s="60" t="inlineStr">
        <is>
          <t>Driveway, Walkway &amp; Hardscape</t>
        </is>
      </c>
      <c r="D55" s="40" t="inlineStr"/>
      <c r="E55" s="41">
        <f>'Bid Comparison'!N55</f>
        <v/>
      </c>
      <c r="F55" s="42">
        <f>'Bid Comparison'!O55</f>
        <v/>
      </c>
      <c r="H55">
        <f>IF(D55="x",A55&amp;"-"&amp;COUNTIFS($A$8:A55,A55,$D$8:D55,"x"),"")</f>
        <v/>
      </c>
    </row>
    <row r="56" ht="18" customHeight="1">
      <c r="A56" s="38" t="inlineStr">
        <is>
          <t>6</t>
        </is>
      </c>
      <c r="B56" s="60" t="inlineStr"/>
      <c r="C56" s="60" t="inlineStr">
        <is>
          <t>Fencing &amp; Gates</t>
        </is>
      </c>
      <c r="D56" s="40" t="inlineStr">
        <is>
          <t>x</t>
        </is>
      </c>
      <c r="E56" s="41">
        <f>'Bid Comparison'!N56</f>
        <v/>
      </c>
      <c r="F56" s="42">
        <f>'Bid Comparison'!O56</f>
        <v/>
      </c>
      <c r="H56">
        <f>IF(D56="x",A56&amp;"-"&amp;COUNTIFS($A$8:A56,A56,$D$8:D56,"x"),"")</f>
        <v/>
      </c>
    </row>
    <row r="57" ht="18" customHeight="1">
      <c r="A57" s="38" t="inlineStr">
        <is>
          <t>6</t>
        </is>
      </c>
      <c r="B57" s="60" t="inlineStr"/>
      <c r="C57" s="60" t="inlineStr">
        <is>
          <t>Pool Repair &amp; Resurface</t>
        </is>
      </c>
      <c r="D57" s="40" t="inlineStr"/>
      <c r="E57" s="41">
        <f>'Bid Comparison'!N57</f>
        <v/>
      </c>
      <c r="F57" s="42">
        <f>'Bid Comparison'!O57</f>
        <v/>
      </c>
      <c r="H57">
        <f>IF(D57="x",A57&amp;"-"&amp;COUNTIFS($A$8:A57,A57,$D$8:D57,"x"),"")</f>
        <v/>
      </c>
    </row>
    <row r="58" ht="18" customHeight="1">
      <c r="A58" s="38" t="inlineStr">
        <is>
          <t>6</t>
        </is>
      </c>
      <c r="B58" s="60" t="inlineStr"/>
      <c r="C58" s="60" t="inlineStr">
        <is>
          <t>Exterior Paint</t>
        </is>
      </c>
      <c r="D58" s="40" t="inlineStr">
        <is>
          <t>x</t>
        </is>
      </c>
      <c r="E58" s="41">
        <f>'Bid Comparison'!N58</f>
        <v/>
      </c>
      <c r="F58" s="42">
        <f>'Bid Comparison'!O58</f>
        <v/>
      </c>
      <c r="H58">
        <f>IF(D58="x",A58&amp;"-"&amp;COUNTIFS($A$8:A58,A58,$D$8:D58,"x"),"")</f>
        <v/>
      </c>
    </row>
    <row r="59" ht="18" customHeight="1">
      <c r="A59" s="38" t="inlineStr">
        <is>
          <t>6</t>
        </is>
      </c>
      <c r="B59" s="60" t="inlineStr"/>
      <c r="C59" s="60" t="inlineStr">
        <is>
          <t>Exterior Lighting</t>
        </is>
      </c>
      <c r="D59" s="40" t="inlineStr">
        <is>
          <t>x</t>
        </is>
      </c>
      <c r="E59" s="41">
        <f>'Bid Comparison'!N59</f>
        <v/>
      </c>
      <c r="F59" s="42">
        <f>'Bid Comparison'!O59</f>
        <v/>
      </c>
      <c r="H59">
        <f>IF(D59="x",A59&amp;"-"&amp;COUNTIFS($A$8:A59,A59,$D$8:D59,"x"),"")</f>
        <v/>
      </c>
    </row>
    <row r="60" ht="18" customHeight="1">
      <c r="A60" s="38" t="inlineStr">
        <is>
          <t>6</t>
        </is>
      </c>
      <c r="B60" s="60" t="inlineStr"/>
      <c r="C60" s="60" t="inlineStr">
        <is>
          <t>Landscaping</t>
        </is>
      </c>
      <c r="D60" s="40" t="inlineStr">
        <is>
          <t>x</t>
        </is>
      </c>
      <c r="E60" s="41">
        <f>'Bid Comparison'!N60</f>
        <v/>
      </c>
      <c r="F60" s="42">
        <f>'Bid Comparison'!O60</f>
        <v/>
      </c>
      <c r="H60">
        <f>IF(D60="x",A60&amp;"-"&amp;COUNTIFS($A$8:A60,A60,$D$8:D60,"x"),"")</f>
        <v/>
      </c>
    </row>
    <row r="61" ht="18" customHeight="1">
      <c r="A61" s="33" t="inlineStr">
        <is>
          <t>7</t>
        </is>
      </c>
      <c r="B61" s="34" t="inlineStr">
        <is>
          <t>MEP Finishes, Glass &amp; Appliances</t>
        </is>
      </c>
      <c r="C61" s="34" t="inlineStr">
        <is>
          <t>Plumbing Trim</t>
        </is>
      </c>
      <c r="D61" s="35" t="inlineStr">
        <is>
          <t>x</t>
        </is>
      </c>
      <c r="E61" s="36">
        <f>'Bid Comparison'!N61</f>
        <v/>
      </c>
      <c r="F61" s="37">
        <f>'Bid Comparison'!O61</f>
        <v/>
      </c>
      <c r="H61">
        <f>IF(D61="x",A61&amp;"-"&amp;COUNTIFS($A$8:A61,A61,$D$8:D61,"x"),"")</f>
        <v/>
      </c>
    </row>
    <row r="62" ht="18" customHeight="1">
      <c r="A62" s="38" t="inlineStr">
        <is>
          <t>7</t>
        </is>
      </c>
      <c r="B62" s="60" t="inlineStr"/>
      <c r="C62" s="60" t="inlineStr">
        <is>
          <t>Electrical Trim</t>
        </is>
      </c>
      <c r="D62" s="40" t="inlineStr">
        <is>
          <t>x</t>
        </is>
      </c>
      <c r="E62" s="41">
        <f>'Bid Comparison'!N62</f>
        <v/>
      </c>
      <c r="F62" s="42">
        <f>'Bid Comparison'!O62</f>
        <v/>
      </c>
      <c r="H62">
        <f>IF(D62="x",A62&amp;"-"&amp;COUNTIFS($A$8:A62,A62,$D$8:D62,"x"),"")</f>
        <v/>
      </c>
    </row>
    <row r="63" ht="18" customHeight="1">
      <c r="A63" s="38" t="inlineStr">
        <is>
          <t>7</t>
        </is>
      </c>
      <c r="B63" s="60" t="inlineStr"/>
      <c r="C63" s="60" t="inlineStr">
        <is>
          <t>HVAC Start-up &amp; Registers</t>
        </is>
      </c>
      <c r="D63" s="40" t="inlineStr">
        <is>
          <t>x</t>
        </is>
      </c>
      <c r="E63" s="41">
        <f>'Bid Comparison'!N63</f>
        <v/>
      </c>
      <c r="F63" s="42">
        <f>'Bid Comparison'!O63</f>
        <v/>
      </c>
      <c r="H63">
        <f>IF(D63="x",A63&amp;"-"&amp;COUNTIFS($A$8:A63,A63,$D$8:D63,"x"),"")</f>
        <v/>
      </c>
    </row>
    <row r="64" ht="18" customHeight="1">
      <c r="A64" s="38" t="inlineStr">
        <is>
          <t>7</t>
        </is>
      </c>
      <c r="B64" s="60" t="inlineStr"/>
      <c r="C64" s="60" t="inlineStr">
        <is>
          <t>Shower Glass &amp; Mirrors</t>
        </is>
      </c>
      <c r="D64" s="40" t="inlineStr">
        <is>
          <t>x</t>
        </is>
      </c>
      <c r="E64" s="41">
        <f>'Bid Comparison'!N64</f>
        <v/>
      </c>
      <c r="F64" s="42">
        <f>'Bid Comparison'!O64</f>
        <v/>
      </c>
      <c r="H64">
        <f>IF(D64="x",A64&amp;"-"&amp;COUNTIFS($A$8:A64,A64,$D$8:D64,"x"),"")</f>
        <v/>
      </c>
    </row>
    <row r="65" ht="18" customHeight="1">
      <c r="A65" s="38" t="inlineStr">
        <is>
          <t>7</t>
        </is>
      </c>
      <c r="B65" s="60" t="inlineStr"/>
      <c r="C65" s="60" t="inlineStr">
        <is>
          <t>Bath Accessories</t>
        </is>
      </c>
      <c r="D65" s="40" t="inlineStr">
        <is>
          <t>x</t>
        </is>
      </c>
      <c r="E65" s="41">
        <f>'Bid Comparison'!N65</f>
        <v/>
      </c>
      <c r="F65" s="42">
        <f>'Bid Comparison'!O65</f>
        <v/>
      </c>
      <c r="H65">
        <f>IF(D65="x",A65&amp;"-"&amp;COUNTIFS($A$8:A65,A65,$D$8:D65,"x"),"")</f>
        <v/>
      </c>
    </row>
    <row r="66" ht="18" customHeight="1">
      <c r="A66" s="38" t="inlineStr">
        <is>
          <t>7</t>
        </is>
      </c>
      <c r="B66" s="60" t="inlineStr"/>
      <c r="C66" s="60" t="inlineStr">
        <is>
          <t>Appliances</t>
        </is>
      </c>
      <c r="D66" s="40" t="inlineStr">
        <is>
          <t>x</t>
        </is>
      </c>
      <c r="E66" s="41">
        <f>'Bid Comparison'!N66</f>
        <v/>
      </c>
      <c r="F66" s="42">
        <f>'Bid Comparison'!O66</f>
        <v/>
      </c>
      <c r="H66">
        <f>IF(D66="x",A66&amp;"-"&amp;COUNTIFS($A$8:A66,A66,$D$8:D66,"x"),"")</f>
        <v/>
      </c>
    </row>
    <row r="67" ht="18" customHeight="1">
      <c r="A67" s="38" t="inlineStr">
        <is>
          <t>7</t>
        </is>
      </c>
      <c r="B67" s="60" t="inlineStr"/>
      <c r="C67" s="60" t="inlineStr">
        <is>
          <t>Garage Door &amp; Opener</t>
        </is>
      </c>
      <c r="D67" s="40" t="inlineStr">
        <is>
          <t>x</t>
        </is>
      </c>
      <c r="E67" s="41">
        <f>'Bid Comparison'!N67</f>
        <v/>
      </c>
      <c r="F67" s="42">
        <f>'Bid Comparison'!O67</f>
        <v/>
      </c>
      <c r="H67">
        <f>IF(D67="x",A67&amp;"-"&amp;COUNTIFS($A$8:A67,A67,$D$8:D67,"x"),"")</f>
        <v/>
      </c>
    </row>
    <row r="68" ht="18" customHeight="1">
      <c r="A68" s="38" t="inlineStr">
        <is>
          <t>7</t>
        </is>
      </c>
      <c r="B68" s="60" t="inlineStr"/>
      <c r="C68" s="60" t="inlineStr">
        <is>
          <t>Life Safety &amp; Final Inspections</t>
        </is>
      </c>
      <c r="D68" s="40" t="inlineStr">
        <is>
          <t>x</t>
        </is>
      </c>
      <c r="E68" s="41">
        <f>'Bid Comparison'!N68</f>
        <v/>
      </c>
      <c r="F68" s="42">
        <f>'Bid Comparison'!O68</f>
        <v/>
      </c>
      <c r="H68">
        <f>IF(D68="x",A68&amp;"-"&amp;COUNTIFS($A$8:A68,A68,$D$8:D68,"x"),"")</f>
        <v/>
      </c>
    </row>
    <row r="69" ht="18" customHeight="1">
      <c r="A69" s="33" t="inlineStr">
        <is>
          <t>8</t>
        </is>
      </c>
      <c r="B69" s="34" t="inlineStr">
        <is>
          <t>Punch, Carpet &amp; Final Clean</t>
        </is>
      </c>
      <c r="C69" s="34" t="inlineStr">
        <is>
          <t>Punch List &amp; Touch-up</t>
        </is>
      </c>
      <c r="D69" s="35" t="inlineStr">
        <is>
          <t>x</t>
        </is>
      </c>
      <c r="E69" s="36">
        <f>'Bid Comparison'!N69</f>
        <v/>
      </c>
      <c r="F69" s="37">
        <f>'Bid Comparison'!O69</f>
        <v/>
      </c>
      <c r="H69">
        <f>IF(D69="x",A69&amp;"-"&amp;COUNTIFS($A$8:A69,A69,$D$8:D69,"x"),"")</f>
        <v/>
      </c>
    </row>
    <row r="70" ht="18" customHeight="1">
      <c r="A70" s="38" t="inlineStr">
        <is>
          <t>8</t>
        </is>
      </c>
      <c r="B70" s="60" t="inlineStr"/>
      <c r="C70" s="60" t="inlineStr">
        <is>
          <t>Carpet</t>
        </is>
      </c>
      <c r="D70" s="40" t="inlineStr">
        <is>
          <t>x</t>
        </is>
      </c>
      <c r="E70" s="41">
        <f>'Bid Comparison'!N70</f>
        <v/>
      </c>
      <c r="F70" s="42">
        <f>'Bid Comparison'!O70</f>
        <v/>
      </c>
      <c r="H70">
        <f>IF(D70="x",A70&amp;"-"&amp;COUNTIFS($A$8:A70,A70,$D$8:D70,"x"),"")</f>
        <v/>
      </c>
    </row>
    <row r="71" ht="18" customHeight="1">
      <c r="A71" s="38" t="inlineStr">
        <is>
          <t>8</t>
        </is>
      </c>
      <c r="B71" s="60" t="inlineStr"/>
      <c r="C71" s="60" t="inlineStr">
        <is>
          <t>Final Clean</t>
        </is>
      </c>
      <c r="D71" s="40" t="inlineStr">
        <is>
          <t>x</t>
        </is>
      </c>
      <c r="E71" s="41">
        <f>'Bid Comparison'!N71</f>
        <v/>
      </c>
      <c r="F71" s="42">
        <f>'Bid Comparison'!O71</f>
        <v/>
      </c>
      <c r="H71">
        <f>IF(D71="x",A71&amp;"-"&amp;COUNTIFS($A$8:A71,A71,$D$8:D71,"x"),"")</f>
        <v/>
      </c>
    </row>
    <row r="72" ht="18" customHeight="1">
      <c r="A72" s="38" t="inlineStr">
        <is>
          <t>8</t>
        </is>
      </c>
      <c r="B72" s="60" t="inlineStr"/>
      <c r="C72" s="60" t="inlineStr">
        <is>
          <t>Staging</t>
        </is>
      </c>
      <c r="D72" s="40" t="inlineStr">
        <is>
          <t>x</t>
        </is>
      </c>
      <c r="E72" s="41">
        <f>'Bid Comparison'!N72</f>
        <v/>
      </c>
      <c r="F72" s="42">
        <f>'Bid Comparison'!O72</f>
        <v/>
      </c>
      <c r="H72">
        <f>IF(D72="x",A72&amp;"-"&amp;COUNTIFS($A$8:A72,A72,$D$8:D72,"x"),"")</f>
        <v/>
      </c>
    </row>
    <row r="73" ht="18" customHeight="1">
      <c r="A73" s="38" t="inlineStr">
        <is>
          <t>8</t>
        </is>
      </c>
      <c r="B73" s="60" t="inlineStr"/>
      <c r="C73" s="60" t="inlineStr">
        <is>
          <t>Warranty &amp; Callback Reserve</t>
        </is>
      </c>
      <c r="D73" s="40" t="inlineStr">
        <is>
          <t>x</t>
        </is>
      </c>
      <c r="E73" s="41">
        <f>'Bid Comparison'!N73</f>
        <v/>
      </c>
      <c r="F73" s="42">
        <f>'Bid Comparison'!O73</f>
        <v/>
      </c>
      <c r="H73">
        <f>IF(D73="x",A73&amp;"-"&amp;COUNTIFS($A$8:A73,A73,$D$8:D73,"x"),"")</f>
        <v/>
      </c>
    </row>
    <row r="74">
      <c r="C74" s="24" t="inlineStr">
        <is>
          <t>Jobs included</t>
        </is>
      </c>
      <c r="D74" s="43">
        <f>COUNTIF(D8:D73,"x")</f>
        <v/>
      </c>
      <c r="E74" s="44">
        <f>SUMIF($D$8:$D$73,"x",$E$8:$E$73)</f>
        <v/>
      </c>
    </row>
  </sheetData>
  <mergeCells count="3">
    <mergeCell ref="A2:F2"/>
    <mergeCell ref="A6:F6"/>
    <mergeCell ref="A1:F1"/>
  </mergeCells>
  <conditionalFormatting sqref="A8:F73">
    <cfRule type="expression" priority="1" dxfId="2">
      <formula>$D8=""</formula>
    </cfRule>
  </conditionalFormatting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C2A39"/>
    <outlinePr summaryBelow="1" summaryRight="1"/>
    <pageSetUpPr fitToPage="1"/>
  </sheetPr>
  <dimension ref="A1:H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6" customWidth="1" min="3" max="3"/>
    <col width="10" customWidth="1" min="4" max="4"/>
    <col width="8" customWidth="1" min="5" max="5"/>
    <col hidden="1" width="13" customWidth="1" min="8" max="8"/>
  </cols>
  <sheetData>
    <row r="1" ht="38" customHeight="1">
      <c r="A1" s="1" t="inlineStr">
        <is>
          <t>Bid Request</t>
        </is>
      </c>
      <c r="H1" s="86" t="inlineStr">
        <is>
          <t>A — Pre-Construction &amp; General Conditions</t>
        </is>
      </c>
    </row>
    <row r="2" ht="20" customHeight="1">
      <c r="A2" s="3" t="inlineStr">
        <is>
          <t>Pick a phase, print this page, hand it to a sub. They fill in price and days.</t>
        </is>
      </c>
      <c r="H2" s="86" t="inlineStr">
        <is>
          <t>1 — Demolition, Foundation &amp; Underground</t>
        </is>
      </c>
    </row>
    <row r="3" ht="4" customHeight="1">
      <c r="A3" s="4" t="n"/>
      <c r="B3" s="4" t="n"/>
      <c r="C3" s="4" t="n"/>
      <c r="D3" s="4" t="n"/>
      <c r="E3" s="4" t="n"/>
      <c r="H3" s="86" t="inlineStr">
        <is>
          <t>2 — Framing, Roofing &amp; Rough MEP</t>
        </is>
      </c>
    </row>
    <row r="4">
      <c r="H4" s="86" t="inlineStr">
        <is>
          <t>3 — Insulation, Drywall, Doors, Trim &amp; Paint</t>
        </is>
      </c>
    </row>
    <row r="5">
      <c r="H5" s="86" t="inlineStr">
        <is>
          <t>4 — Cabinets &amp; Countertops</t>
        </is>
      </c>
    </row>
    <row r="6" ht="24" customHeight="1">
      <c r="A6" s="87" t="inlineStr">
        <is>
          <t>Which phase are you sending out?</t>
        </is>
      </c>
      <c r="B6" s="88" t="inlineStr">
        <is>
          <t>2 — Framing, Roofing &amp; Rough MEP</t>
        </is>
      </c>
      <c r="C6" s="99" t="inlineStr">
        <is>
          <t>To email this instead:  File → Save As → PDF, then attach it.</t>
        </is>
      </c>
      <c r="H6" s="86" t="inlineStr">
        <is>
          <t>5 — Tile &amp; Flooring</t>
        </is>
      </c>
    </row>
    <row r="7">
      <c r="C7" s="100" t="n"/>
      <c r="D7" s="100" t="n"/>
      <c r="H7" s="86" t="inlineStr">
        <is>
          <t>6 — Exterior &amp; Landscaping</t>
        </is>
      </c>
    </row>
    <row r="8" ht="20" customHeight="1">
      <c r="A8" s="89" t="inlineStr">
        <is>
          <t>Property</t>
        </is>
      </c>
      <c r="B8" s="90">
        <f>'Your Deal'!$D$7</f>
        <v/>
      </c>
      <c r="H8" s="86" t="inlineStr">
        <is>
          <t>7 — MEP Finishes, Glass &amp; Appliances</t>
        </is>
      </c>
    </row>
    <row r="9" ht="20" customHeight="1">
      <c r="A9" s="89" t="inlineStr">
        <is>
          <t>Contractor / sub</t>
        </is>
      </c>
      <c r="B9" s="91" t="n"/>
      <c r="H9" s="86" t="inlineStr">
        <is>
          <t>8 — Punch, Carpet &amp; Final Clean</t>
        </is>
      </c>
    </row>
    <row r="10" ht="20" customHeight="1">
      <c r="A10" s="89" t="inlineStr">
        <is>
          <t>Date sent</t>
        </is>
      </c>
      <c r="B10" s="91" t="n"/>
    </row>
    <row r="11" ht="20" customHeight="1">
      <c r="A11" s="89" t="inlineStr">
        <is>
          <t>Please return by</t>
        </is>
      </c>
      <c r="B11" s="91" t="n"/>
    </row>
    <row r="13" ht="24" customHeight="1">
      <c r="A13" s="5" t="inlineStr">
        <is>
          <t>SCOPE OF WORK</t>
        </is>
      </c>
      <c r="B13" s="6" t="n"/>
      <c r="C13" s="6" t="n"/>
      <c r="D13" s="6" t="n"/>
      <c r="E13" s="6" t="n"/>
    </row>
    <row r="15" ht="26" customHeight="1">
      <c r="A15" s="19" t="inlineStr">
        <is>
          <t>Category</t>
        </is>
      </c>
      <c r="B15" s="19" t="inlineStr">
        <is>
          <t>Describe the work  (you fill this in)</t>
        </is>
      </c>
      <c r="C15" s="19" t="inlineStr">
        <is>
          <t>Your price</t>
        </is>
      </c>
      <c r="D15" s="19" t="inlineStr">
        <is>
          <t>Days</t>
        </is>
      </c>
    </row>
    <row r="16" ht="22" customHeight="1">
      <c r="A16" s="90">
        <f>IFERROR(INDEX('Scope &amp; Phases'!$C$8:$C$73,MATCH(LEFT($B$6,FIND(" ",$B$6&amp;" ")-1)&amp;"-"&amp;1,'Scope &amp; Phases'!$H$8:$H$73,0)),"")</f>
        <v/>
      </c>
      <c r="B16" s="91" t="n"/>
      <c r="C16" s="92" t="n"/>
      <c r="D16" s="53" t="n"/>
    </row>
    <row r="17" ht="22" customHeight="1">
      <c r="A17" s="90">
        <f>IFERROR(INDEX('Scope &amp; Phases'!$C$8:$C$73,MATCH(LEFT($B$6,FIND(" ",$B$6&amp;" ")-1)&amp;"-"&amp;2,'Scope &amp; Phases'!$H$8:$H$73,0)),"")</f>
        <v/>
      </c>
      <c r="B17" s="91" t="n"/>
      <c r="C17" s="92" t="n"/>
      <c r="D17" s="53" t="n"/>
    </row>
    <row r="18" ht="22" customHeight="1">
      <c r="A18" s="90">
        <f>IFERROR(INDEX('Scope &amp; Phases'!$C$8:$C$73,MATCH(LEFT($B$6,FIND(" ",$B$6&amp;" ")-1)&amp;"-"&amp;3,'Scope &amp; Phases'!$H$8:$H$73,0)),"")</f>
        <v/>
      </c>
      <c r="B18" s="91" t="n"/>
      <c r="C18" s="92" t="n"/>
      <c r="D18" s="53" t="n"/>
    </row>
    <row r="19" ht="22" customHeight="1">
      <c r="A19" s="90">
        <f>IFERROR(INDEX('Scope &amp; Phases'!$C$8:$C$73,MATCH(LEFT($B$6,FIND(" ",$B$6&amp;" ")-1)&amp;"-"&amp;4,'Scope &amp; Phases'!$H$8:$H$73,0)),"")</f>
        <v/>
      </c>
      <c r="B19" s="91" t="n"/>
      <c r="C19" s="92" t="n"/>
      <c r="D19" s="53" t="n"/>
    </row>
    <row r="20" ht="22" customHeight="1">
      <c r="A20" s="90">
        <f>IFERROR(INDEX('Scope &amp; Phases'!$C$8:$C$73,MATCH(LEFT($B$6,FIND(" ",$B$6&amp;" ")-1)&amp;"-"&amp;5,'Scope &amp; Phases'!$H$8:$H$73,0)),"")</f>
        <v/>
      </c>
      <c r="B20" s="91" t="n"/>
      <c r="C20" s="92" t="n"/>
      <c r="D20" s="53" t="n"/>
    </row>
    <row r="21" ht="22" customHeight="1">
      <c r="A21" s="90">
        <f>IFERROR(INDEX('Scope &amp; Phases'!$C$8:$C$73,MATCH(LEFT($B$6,FIND(" ",$B$6&amp;" ")-1)&amp;"-"&amp;6,'Scope &amp; Phases'!$H$8:$H$73,0)),"")</f>
        <v/>
      </c>
      <c r="B21" s="91" t="n"/>
      <c r="C21" s="92" t="n"/>
      <c r="D21" s="53" t="n"/>
    </row>
    <row r="22" ht="22" customHeight="1">
      <c r="A22" s="90">
        <f>IFERROR(INDEX('Scope &amp; Phases'!$C$8:$C$73,MATCH(LEFT($B$6,FIND(" ",$B$6&amp;" ")-1)&amp;"-"&amp;7,'Scope &amp; Phases'!$H$8:$H$73,0)),"")</f>
        <v/>
      </c>
      <c r="B22" s="91" t="n"/>
      <c r="C22" s="92" t="n"/>
      <c r="D22" s="53" t="n"/>
    </row>
    <row r="23" ht="22" customHeight="1">
      <c r="A23" s="90">
        <f>IFERROR(INDEX('Scope &amp; Phases'!$C$8:$C$73,MATCH(LEFT($B$6,FIND(" ",$B$6&amp;" ")-1)&amp;"-"&amp;8,'Scope &amp; Phases'!$H$8:$H$73,0)),"")</f>
        <v/>
      </c>
      <c r="B23" s="91" t="n"/>
      <c r="C23" s="92" t="n"/>
      <c r="D23" s="53" t="n"/>
    </row>
    <row r="24" ht="22" customHeight="1">
      <c r="A24" s="90">
        <f>IFERROR(INDEX('Scope &amp; Phases'!$C$8:$C$73,MATCH(LEFT($B$6,FIND(" ",$B$6&amp;" ")-1)&amp;"-"&amp;9,'Scope &amp; Phases'!$H$8:$H$73,0)),"")</f>
        <v/>
      </c>
      <c r="B24" s="91" t="n"/>
      <c r="C24" s="92" t="n"/>
      <c r="D24" s="53" t="n"/>
    </row>
    <row r="25" ht="22" customHeight="1">
      <c r="A25" s="90">
        <f>IFERROR(INDEX('Scope &amp; Phases'!$C$8:$C$73,MATCH(LEFT($B$6,FIND(" ",$B$6&amp;" ")-1)&amp;"-"&amp;10,'Scope &amp; Phases'!$H$8:$H$73,0)),"")</f>
        <v/>
      </c>
      <c r="B25" s="91" t="n"/>
      <c r="C25" s="92" t="n"/>
      <c r="D25" s="53" t="n"/>
    </row>
    <row r="26" ht="22" customHeight="1">
      <c r="A26" s="90">
        <f>IFERROR(INDEX('Scope &amp; Phases'!$C$8:$C$73,MATCH(LEFT($B$6,FIND(" ",$B$6&amp;" ")-1)&amp;"-"&amp;11,'Scope &amp; Phases'!$H$8:$H$73,0)),"")</f>
        <v/>
      </c>
      <c r="B26" s="91" t="n"/>
      <c r="C26" s="92" t="n"/>
      <c r="D26" s="53" t="n"/>
    </row>
    <row r="27" ht="22" customHeight="1">
      <c r="A27" s="90">
        <f>IFERROR(INDEX('Scope &amp; Phases'!$C$8:$C$73,MATCH(LEFT($B$6,FIND(" ",$B$6&amp;" ")-1)&amp;"-"&amp;12,'Scope &amp; Phases'!$H$8:$H$73,0)),"")</f>
        <v/>
      </c>
      <c r="B27" s="91" t="n"/>
      <c r="C27" s="92" t="n"/>
      <c r="D27" s="53" t="n"/>
    </row>
    <row r="29">
      <c r="B29" s="24" t="inlineStr">
        <is>
          <t>TOTAL BID</t>
        </is>
      </c>
      <c r="C29" s="93">
        <f>SUM(C16:C27)</f>
        <v/>
      </c>
      <c r="D29" s="94">
        <f>IFERROR(MAX(D16:D27),0)</f>
        <v/>
      </c>
    </row>
    <row r="31" ht="24" customHeight="1">
      <c r="A31" s="5" t="inlineStr">
        <is>
          <t>TERMS</t>
        </is>
      </c>
      <c r="B31" s="6" t="n"/>
      <c r="C31" s="6" t="n"/>
      <c r="D31" s="6" t="n"/>
      <c r="E31" s="6" t="n"/>
    </row>
    <row r="33" ht="16" customHeight="1">
      <c r="A33" s="18" t="inlineStr">
        <is>
          <t>•  Deposit at start of work: this project pays a deposit, with the balance due on completion.</t>
        </is>
      </c>
    </row>
    <row r="34" ht="16" customHeight="1">
      <c r="A34" s="18" t="inlineStr">
        <is>
          <t>•  Days above are calendar days from the day you start, not working days.</t>
        </is>
      </c>
    </row>
    <row r="35" ht="16" customHeight="1">
      <c r="A35" s="18" t="inlineStr">
        <is>
          <t>•  Price is for labor and materials unless you note otherwise in the description.</t>
        </is>
      </c>
    </row>
    <row r="36" ht="16" customHeight="1">
      <c r="A36" s="18" t="inlineStr">
        <is>
          <t>•  A signed lien waiver is required with each payment.</t>
        </is>
      </c>
    </row>
    <row r="38" ht="16" customHeight="1">
      <c r="A38" s="17" t="inlineStr">
        <is>
          <t>Questions about this request?  support@honafinancial.com</t>
        </is>
      </c>
    </row>
  </sheetData>
  <mergeCells count="8">
    <mergeCell ref="A34:E34"/>
    <mergeCell ref="A35:E35"/>
    <mergeCell ref="C6:D6"/>
    <mergeCell ref="A38:E38"/>
    <mergeCell ref="A2:E2"/>
    <mergeCell ref="A33:E33"/>
    <mergeCell ref="A1:E1"/>
    <mergeCell ref="A36:E36"/>
  </mergeCells>
  <conditionalFormatting sqref="A16:D27">
    <cfRule type="expression" priority="1" dxfId="7">
      <formula>$A16=""</formula>
    </cfRule>
  </conditionalFormatting>
  <dataValidations count="1">
    <dataValidation sqref="B6" showDropDown="0" showInputMessage="0" showErrorMessage="0" allowBlank="0" type="list">
      <formula1>$H$1:$H$9</formula1>
    </dataValidation>
  </dataValidation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P73"/>
  <sheetViews>
    <sheetView showGridLines="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" customWidth="1" min="3" max="3"/>
    <col width="18" customWidth="1" min="4" max="4"/>
    <col width="13" customWidth="1" min="5" max="5"/>
    <col width="7" customWidth="1" min="6" max="6"/>
    <col width="18" customWidth="1" min="7" max="7"/>
    <col width="13" customWidth="1" min="8" max="8"/>
    <col width="7" customWidth="1" min="9" max="9"/>
    <col width="18" customWidth="1" min="10" max="10"/>
    <col width="13" customWidth="1" min="11" max="11"/>
    <col width="7" customWidth="1" min="12" max="12"/>
    <col width="7" customWidth="1" min="13" max="13"/>
    <col width="13" customWidth="1" min="14" max="14"/>
    <col width="7" customWidth="1" min="15" max="15"/>
    <col width="18" customWidth="1" min="16" max="16"/>
  </cols>
  <sheetData>
    <row r="1" ht="38" customHeight="1">
      <c r="A1" s="1" t="inlineStr">
        <is>
          <t>Bid Comparison</t>
        </is>
      </c>
    </row>
    <row r="2" ht="20" customHeight="1">
      <c r="A2" s="3" t="inlineStr">
        <is>
          <t>Type in what each sub quoted. The cheapest is used unless you pick another.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6" ht="16" customHeight="1">
      <c r="A6" s="17" t="inlineStr">
        <is>
          <t>One bid gets you a budget. Three gets you the truth. Days come from the sub, not from you — leave Days at 0 for anything that runs the whole job, like supervision, insurance or a reserve.</t>
        </is>
      </c>
    </row>
    <row r="7" ht="26" customHeight="1">
      <c r="A7" s="19" t="inlineStr">
        <is>
          <t>Ph</t>
        </is>
      </c>
      <c r="B7" s="19" t="inlineStr">
        <is>
          <t>Category</t>
        </is>
      </c>
      <c r="C7" s="19" t="inlineStr">
        <is>
          <t>Use?</t>
        </is>
      </c>
      <c r="D7" s="19" t="inlineStr">
        <is>
          <t>Bid 1 — company</t>
        </is>
      </c>
      <c r="E7" s="19" t="inlineStr">
        <is>
          <t>Bid 1 $</t>
        </is>
      </c>
      <c r="F7" s="19" t="inlineStr">
        <is>
          <t>Days</t>
        </is>
      </c>
      <c r="G7" s="19" t="inlineStr">
        <is>
          <t>Bid 2 — company</t>
        </is>
      </c>
      <c r="H7" s="19" t="inlineStr">
        <is>
          <t>Bid 2 $</t>
        </is>
      </c>
      <c r="I7" s="19" t="inlineStr">
        <is>
          <t>Days</t>
        </is>
      </c>
      <c r="J7" s="19" t="inlineStr">
        <is>
          <t>Bid 3 — company</t>
        </is>
      </c>
      <c r="K7" s="19" t="inlineStr">
        <is>
          <t>Bid 3 $</t>
        </is>
      </c>
      <c r="L7" s="19" t="inlineStr">
        <is>
          <t>Days</t>
        </is>
      </c>
      <c r="M7" s="19" t="inlineStr">
        <is>
          <t>Pick</t>
        </is>
      </c>
      <c r="N7" s="19" t="inlineStr">
        <is>
          <t>Chosen $</t>
        </is>
      </c>
      <c r="O7" s="19" t="inlineStr">
        <is>
          <t>Days</t>
        </is>
      </c>
      <c r="P7" s="19" t="inlineStr">
        <is>
          <t>Chosen sub</t>
        </is>
      </c>
    </row>
    <row r="8" ht="18" customHeight="1">
      <c r="A8" s="33" t="inlineStr">
        <is>
          <t>A</t>
        </is>
      </c>
      <c r="B8" s="34" t="inlineStr">
        <is>
          <t>Permits &amp; Plan Review</t>
        </is>
      </c>
      <c r="C8" s="45">
        <f>'Scope &amp; Phases'!D8</f>
        <v/>
      </c>
      <c r="D8" s="46" t="inlineStr">
        <is>
          <t>City of Queen Creek</t>
        </is>
      </c>
      <c r="E8" s="47" t="n">
        <v>1275</v>
      </c>
      <c r="F8" s="48" t="n">
        <v>12</v>
      </c>
      <c r="G8" s="46" t="n"/>
      <c r="H8" s="47" t="n"/>
      <c r="I8" s="48" t="n"/>
      <c r="J8" s="46" t="n"/>
      <c r="K8" s="47" t="n"/>
      <c r="L8" s="48" t="n"/>
      <c r="M8" s="48" t="n"/>
      <c r="N8" s="49">
        <f>IFERROR(IF($C8&lt;&gt;"x",0,IF($M8=1,E8,IF($M8=2,H8,IF($M8=3,K8,IF(COUNT(E8,H8,K8)=0,0,MIN(IF(E8&gt;0,E8,1E+99),IF(H8&gt;0,H8,1E+99),IF(K8&gt;0,K8,1E+99))))))),0)</f>
        <v/>
      </c>
      <c r="O8" s="50">
        <f>IFERROR(IF($C8&lt;&gt;"x",0,IF($M8=1,F8,IF($M8=2,I8,IF($M8=3,L8,IF(E8=IF(COUNT(E8,H8,K8)=0,0,MIN(IF(E8&gt;0,E8,1E+99),IF(H8&gt;0,H8,1E+99),IF(K8&gt;0,K8,1E+99))),F8,IF(H8=IF(COUNT(E8,H8,K8)=0,0,MIN(IF(E8&gt;0,E8,1E+99),IF(H8&gt;0,H8,1E+99),IF(K8&gt;0,K8,1E+99))),I8,L8)))))),0)</f>
        <v/>
      </c>
      <c r="P8" s="51">
        <f>IFERROR(IF($C8&lt;&gt;"x",0,IF($M8=1,D8,IF($M8=2,G8,IF($M8=3,J8,IF(E8=IF(COUNT(E8,H8,K8)=0,0,MIN(IF(E8&gt;0,E8,1E+99),IF(H8&gt;0,H8,1E+99),IF(K8&gt;0,K8,1E+99))),D8,IF(H8=IF(COUNT(E8,H8,K8)=0,0,MIN(IF(E8&gt;0,E8,1E+99),IF(H8&gt;0,H8,1E+99),IF(K8&gt;0,K8,1E+99))),G8,J8)))))),0)</f>
        <v/>
      </c>
    </row>
    <row r="9" ht="18" customHeight="1">
      <c r="A9" s="38" t="inlineStr">
        <is>
          <t>A</t>
        </is>
      </c>
      <c r="B9" s="60" t="inlineStr">
        <is>
          <t>Design &amp; Drafting</t>
        </is>
      </c>
      <c r="C9" s="52">
        <f>'Scope &amp; Phases'!D9</f>
        <v/>
      </c>
      <c r="D9" s="9" t="n"/>
      <c r="E9" s="22" t="n"/>
      <c r="F9" s="53" t="n"/>
      <c r="G9" s="9" t="n"/>
      <c r="H9" s="22" t="n"/>
      <c r="I9" s="53" t="n"/>
      <c r="J9" s="9" t="n"/>
      <c r="K9" s="22" t="n"/>
      <c r="L9" s="53" t="n"/>
      <c r="M9" s="53" t="n"/>
      <c r="N9" s="54">
        <f>IFERROR(IF($C9&lt;&gt;"x",0,IF($M9=1,E9,IF($M9=2,H9,IF($M9=3,K9,IF(COUNT(E9,H9,K9)=0,0,MIN(IF(E9&gt;0,E9,1E+99),IF(H9&gt;0,H9,1E+99),IF(K9&gt;0,K9,1E+99))))))),0)</f>
        <v/>
      </c>
      <c r="O9" s="55">
        <f>IFERROR(IF($C9&lt;&gt;"x",0,IF($M9=1,F9,IF($M9=2,I9,IF($M9=3,L9,IF(E9=IF(COUNT(E9,H9,K9)=0,0,MIN(IF(E9&gt;0,E9,1E+99),IF(H9&gt;0,H9,1E+99),IF(K9&gt;0,K9,1E+99))),F9,IF(H9=IF(COUNT(E9,H9,K9)=0,0,MIN(IF(E9&gt;0,E9,1E+99),IF(H9&gt;0,H9,1E+99),IF(K9&gt;0,K9,1E+99))),I9,L9)))))),0)</f>
        <v/>
      </c>
      <c r="P9" s="90">
        <f>IFERROR(IF($C9&lt;&gt;"x",0,IF($M9=1,D9,IF($M9=2,G9,IF($M9=3,J9,IF(E9=IF(COUNT(E9,H9,K9)=0,0,MIN(IF(E9&gt;0,E9,1E+99),IF(H9&gt;0,H9,1E+99),IF(K9&gt;0,K9,1E+99))),D9,IF(H9=IF(COUNT(E9,H9,K9)=0,0,MIN(IF(E9&gt;0,E9,1E+99),IF(H9&gt;0,H9,1E+99),IF(K9&gt;0,K9,1E+99))),G9,J9)))))),0)</f>
        <v/>
      </c>
    </row>
    <row r="10" ht="18" customHeight="1">
      <c r="A10" s="38" t="inlineStr">
        <is>
          <t>A</t>
        </is>
      </c>
      <c r="B10" s="60" t="inlineStr">
        <is>
          <t>Feasibility &amp; Inspections</t>
        </is>
      </c>
      <c r="C10" s="52">
        <f>'Scope &amp; Phases'!D10</f>
        <v/>
      </c>
      <c r="D10" s="9" t="inlineStr"/>
      <c r="E10" s="22" t="n">
        <v>750</v>
      </c>
      <c r="F10" s="53" t="n">
        <v>4</v>
      </c>
      <c r="G10" s="9" t="n"/>
      <c r="H10" s="22" t="n"/>
      <c r="I10" s="53" t="n"/>
      <c r="J10" s="9" t="n"/>
      <c r="K10" s="22" t="n"/>
      <c r="L10" s="53" t="n"/>
      <c r="M10" s="53" t="n"/>
      <c r="N10" s="54">
        <f>IFERROR(IF($C10&lt;&gt;"x",0,IF($M10=1,E10,IF($M10=2,H10,IF($M10=3,K10,IF(COUNT(E10,H10,K10)=0,0,MIN(IF(E10&gt;0,E10,1E+99),IF(H10&gt;0,H10,1E+99),IF(K10&gt;0,K10,1E+99))))))),0)</f>
        <v/>
      </c>
      <c r="O10" s="55">
        <f>IFERROR(IF($C10&lt;&gt;"x",0,IF($M10=1,F10,IF($M10=2,I10,IF($M10=3,L10,IF(E10=IF(COUNT(E10,H10,K10)=0,0,MIN(IF(E10&gt;0,E10,1E+99),IF(H10&gt;0,H10,1E+99),IF(K10&gt;0,K10,1E+99))),F10,IF(H10=IF(COUNT(E10,H10,K10)=0,0,MIN(IF(E10&gt;0,E10,1E+99),IF(H10&gt;0,H10,1E+99),IF(K10&gt;0,K10,1E+99))),I10,L10)))))),0)</f>
        <v/>
      </c>
      <c r="P10" s="90">
        <f>IFERROR(IF($C10&lt;&gt;"x",0,IF($M10=1,D10,IF($M10=2,G10,IF($M10=3,J10,IF(E10=IF(COUNT(E10,H10,K10)=0,0,MIN(IF(E10&gt;0,E10,1E+99),IF(H10&gt;0,H10,1E+99),IF(K10&gt;0,K10,1E+99))),D10,IF(H10=IF(COUNT(E10,H10,K10)=0,0,MIN(IF(E10&gt;0,E10,1E+99),IF(H10&gt;0,H10,1E+99),IF(K10&gt;0,K10,1E+99))),G10,J10)))))),0)</f>
        <v/>
      </c>
    </row>
    <row r="11" ht="18" customHeight="1">
      <c r="A11" s="38" t="inlineStr">
        <is>
          <t>A</t>
        </is>
      </c>
      <c r="B11" s="60" t="inlineStr">
        <is>
          <t>Impact &amp; Utility Connection Fees</t>
        </is>
      </c>
      <c r="C11" s="52">
        <f>'Scope &amp; Phases'!D11</f>
        <v/>
      </c>
      <c r="D11" s="9" t="n"/>
      <c r="E11" s="22" t="n"/>
      <c r="F11" s="53" t="n"/>
      <c r="G11" s="9" t="n"/>
      <c r="H11" s="22" t="n"/>
      <c r="I11" s="53" t="n"/>
      <c r="J11" s="9" t="n"/>
      <c r="K11" s="22" t="n"/>
      <c r="L11" s="53" t="n"/>
      <c r="M11" s="53" t="n"/>
      <c r="N11" s="54">
        <f>IFERROR(IF($C11&lt;&gt;"x",0,IF($M11=1,E11,IF($M11=2,H11,IF($M11=3,K11,IF(COUNT(E11,H11,K11)=0,0,MIN(IF(E11&gt;0,E11,1E+99),IF(H11&gt;0,H11,1E+99),IF(K11&gt;0,K11,1E+99))))))),0)</f>
        <v/>
      </c>
      <c r="O11" s="55">
        <f>IFERROR(IF($C11&lt;&gt;"x",0,IF($M11=1,F11,IF($M11=2,I11,IF($M11=3,L11,IF(E11=IF(COUNT(E11,H11,K11)=0,0,MIN(IF(E11&gt;0,E11,1E+99),IF(H11&gt;0,H11,1E+99),IF(K11&gt;0,K11,1E+99))),F11,IF(H11=IF(COUNT(E11,H11,K11)=0,0,MIN(IF(E11&gt;0,E11,1E+99),IF(H11&gt;0,H11,1E+99),IF(K11&gt;0,K11,1E+99))),I11,L11)))))),0)</f>
        <v/>
      </c>
      <c r="P11" s="90">
        <f>IFERROR(IF($C11&lt;&gt;"x",0,IF($M11=1,D11,IF($M11=2,G11,IF($M11=3,J11,IF(E11=IF(COUNT(E11,H11,K11)=0,0,MIN(IF(E11&gt;0,E11,1E+99),IF(H11&gt;0,H11,1E+99),IF(K11&gt;0,K11,1E+99))),D11,IF(H11=IF(COUNT(E11,H11,K11)=0,0,MIN(IF(E11&gt;0,E11,1E+99),IF(H11&gt;0,H11,1E+99),IF(K11&gt;0,K11,1E+99))),G11,J11)))))),0)</f>
        <v/>
      </c>
    </row>
    <row r="12" ht="18" customHeight="1">
      <c r="A12" s="38" t="inlineStr">
        <is>
          <t>A</t>
        </is>
      </c>
      <c r="B12" s="60" t="inlineStr">
        <is>
          <t>Insurance</t>
        </is>
      </c>
      <c r="C12" s="52">
        <f>'Scope &amp; Phases'!D12</f>
        <v/>
      </c>
      <c r="D12" s="9" t="inlineStr">
        <is>
          <t>Hartford</t>
        </is>
      </c>
      <c r="E12" s="22" t="n">
        <v>1675</v>
      </c>
      <c r="F12" s="53" t="n">
        <v>0</v>
      </c>
      <c r="G12" s="9" t="n"/>
      <c r="H12" s="22" t="n"/>
      <c r="I12" s="53" t="n"/>
      <c r="J12" s="9" t="n"/>
      <c r="K12" s="22" t="n"/>
      <c r="L12" s="53" t="n"/>
      <c r="M12" s="53" t="n"/>
      <c r="N12" s="54">
        <f>IFERROR(IF($C12&lt;&gt;"x",0,IF($M12=1,E12,IF($M12=2,H12,IF($M12=3,K12,IF(COUNT(E12,H12,K12)=0,0,MIN(IF(E12&gt;0,E12,1E+99),IF(H12&gt;0,H12,1E+99),IF(K12&gt;0,K12,1E+99))))))),0)</f>
        <v/>
      </c>
      <c r="O12" s="55">
        <f>IFERROR(IF($C12&lt;&gt;"x",0,IF($M12=1,F12,IF($M12=2,I12,IF($M12=3,L12,IF(E12=IF(COUNT(E12,H12,K12)=0,0,MIN(IF(E12&gt;0,E12,1E+99),IF(H12&gt;0,H12,1E+99),IF(K12&gt;0,K12,1E+99))),F12,IF(H12=IF(COUNT(E12,H12,K12)=0,0,MIN(IF(E12&gt;0,E12,1E+99),IF(H12&gt;0,H12,1E+99),IF(K12&gt;0,K12,1E+99))),I12,L12)))))),0)</f>
        <v/>
      </c>
      <c r="P12" s="90">
        <f>IFERROR(IF($C12&lt;&gt;"x",0,IF($M12=1,D12,IF($M12=2,G12,IF($M12=3,J12,IF(E12=IF(COUNT(E12,H12,K12)=0,0,MIN(IF(E12&gt;0,E12,1E+99),IF(H12&gt;0,H12,1E+99),IF(K12&gt;0,K12,1E+99))),D12,IF(H12=IF(COUNT(E12,H12,K12)=0,0,MIN(IF(E12&gt;0,E12,1E+99),IF(H12&gt;0,H12,1E+99),IF(K12&gt;0,K12,1E+99))),G12,J12)))))),0)</f>
        <v/>
      </c>
    </row>
    <row r="13" ht="18" customHeight="1">
      <c r="A13" s="38" t="inlineStr">
        <is>
          <t>A</t>
        </is>
      </c>
      <c r="B13" s="60" t="inlineStr">
        <is>
          <t>Utility Setup &amp; Deposits</t>
        </is>
      </c>
      <c r="C13" s="52">
        <f>'Scope &amp; Phases'!D13</f>
        <v/>
      </c>
      <c r="D13" s="9" t="inlineStr"/>
      <c r="E13" s="22" t="n">
        <v>400</v>
      </c>
      <c r="F13" s="53" t="n">
        <v>0</v>
      </c>
      <c r="G13" s="9" t="n"/>
      <c r="H13" s="22" t="n"/>
      <c r="I13" s="53" t="n"/>
      <c r="J13" s="9" t="n"/>
      <c r="K13" s="22" t="n"/>
      <c r="L13" s="53" t="n"/>
      <c r="M13" s="53" t="n"/>
      <c r="N13" s="54">
        <f>IFERROR(IF($C13&lt;&gt;"x",0,IF($M13=1,E13,IF($M13=2,H13,IF($M13=3,K13,IF(COUNT(E13,H13,K13)=0,0,MIN(IF(E13&gt;0,E13,1E+99),IF(H13&gt;0,H13,1E+99),IF(K13&gt;0,K13,1E+99))))))),0)</f>
        <v/>
      </c>
      <c r="O13" s="55">
        <f>IFERROR(IF($C13&lt;&gt;"x",0,IF($M13=1,F13,IF($M13=2,I13,IF($M13=3,L13,IF(E13=IF(COUNT(E13,H13,K13)=0,0,MIN(IF(E13&gt;0,E13,1E+99),IF(H13&gt;0,H13,1E+99),IF(K13&gt;0,K13,1E+99))),F13,IF(H13=IF(COUNT(E13,H13,K13)=0,0,MIN(IF(E13&gt;0,E13,1E+99),IF(H13&gt;0,H13,1E+99),IF(K13&gt;0,K13,1E+99))),I13,L13)))))),0)</f>
        <v/>
      </c>
      <c r="P13" s="90">
        <f>IFERROR(IF($C13&lt;&gt;"x",0,IF($M13=1,D13,IF($M13=2,G13,IF($M13=3,J13,IF(E13=IF(COUNT(E13,H13,K13)=0,0,MIN(IF(E13&gt;0,E13,1E+99),IF(H13&gt;0,H13,1E+99),IF(K13&gt;0,K13,1E+99))),D13,IF(H13=IF(COUNT(E13,H13,K13)=0,0,MIN(IF(E13&gt;0,E13,1E+99),IF(H13&gt;0,H13,1E+99),IF(K13&gt;0,K13,1E+99))),G13,J13)))))),0)</f>
        <v/>
      </c>
    </row>
    <row r="14" ht="18" customHeight="1">
      <c r="A14" s="38" t="inlineStr">
        <is>
          <t>A</t>
        </is>
      </c>
      <c r="B14" s="60" t="inlineStr">
        <is>
          <t>General Conditions &amp; Supervision</t>
        </is>
      </c>
      <c r="C14" s="52">
        <f>'Scope &amp; Phases'!D14</f>
        <v/>
      </c>
      <c r="D14" s="9" t="inlineStr"/>
      <c r="E14" s="22" t="n">
        <v>4225</v>
      </c>
      <c r="F14" s="53" t="n">
        <v>0</v>
      </c>
      <c r="G14" s="9" t="n"/>
      <c r="H14" s="22" t="n"/>
      <c r="I14" s="53" t="n"/>
      <c r="J14" s="9" t="n"/>
      <c r="K14" s="22" t="n"/>
      <c r="L14" s="53" t="n"/>
      <c r="M14" s="53" t="n"/>
      <c r="N14" s="54">
        <f>IFERROR(IF($C14&lt;&gt;"x",0,IF($M14=1,E14,IF($M14=2,H14,IF($M14=3,K14,IF(COUNT(E14,H14,K14)=0,0,MIN(IF(E14&gt;0,E14,1E+99),IF(H14&gt;0,H14,1E+99),IF(K14&gt;0,K14,1E+99))))))),0)</f>
        <v/>
      </c>
      <c r="O14" s="55">
        <f>IFERROR(IF($C14&lt;&gt;"x",0,IF($M14=1,F14,IF($M14=2,I14,IF($M14=3,L14,IF(E14=IF(COUNT(E14,H14,K14)=0,0,MIN(IF(E14&gt;0,E14,1E+99),IF(H14&gt;0,H14,1E+99),IF(K14&gt;0,K14,1E+99))),F14,IF(H14=IF(COUNT(E14,H14,K14)=0,0,MIN(IF(E14&gt;0,E14,1E+99),IF(H14&gt;0,H14,1E+99),IF(K14&gt;0,K14,1E+99))),I14,L14)))))),0)</f>
        <v/>
      </c>
      <c r="P14" s="90">
        <f>IFERROR(IF($C14&lt;&gt;"x",0,IF($M14=1,D14,IF($M14=2,G14,IF($M14=3,J14,IF(E14=IF(COUNT(E14,H14,K14)=0,0,MIN(IF(E14&gt;0,E14,1E+99),IF(H14&gt;0,H14,1E+99),IF(K14&gt;0,K14,1E+99))),D14,IF(H14=IF(COUNT(E14,H14,K14)=0,0,MIN(IF(E14&gt;0,E14,1E+99),IF(H14&gt;0,H14,1E+99),IF(K14&gt;0,K14,1E+99))),G14,J14)))))),0)</f>
        <v/>
      </c>
    </row>
    <row r="15" ht="18" customHeight="1">
      <c r="A15" s="38" t="inlineStr">
        <is>
          <t>A</t>
        </is>
      </c>
      <c r="B15" s="60" t="inlineStr">
        <is>
          <t>Contingency Reserve</t>
        </is>
      </c>
      <c r="C15" s="52">
        <f>'Scope &amp; Phases'!D15</f>
        <v/>
      </c>
      <c r="D15" s="9" t="inlineStr"/>
      <c r="E15" s="22" t="n">
        <v>6600</v>
      </c>
      <c r="F15" s="53" t="n">
        <v>0</v>
      </c>
      <c r="G15" s="9" t="n"/>
      <c r="H15" s="22" t="n"/>
      <c r="I15" s="53" t="n"/>
      <c r="J15" s="9" t="n"/>
      <c r="K15" s="22" t="n"/>
      <c r="L15" s="53" t="n"/>
      <c r="M15" s="53" t="n"/>
      <c r="N15" s="54">
        <f>IFERROR(IF($C15&lt;&gt;"x",0,IF($M15=1,E15,IF($M15=2,H15,IF($M15=3,K15,IF(COUNT(E15,H15,K15)=0,0,MIN(IF(E15&gt;0,E15,1E+99),IF(H15&gt;0,H15,1E+99),IF(K15&gt;0,K15,1E+99))))))),0)</f>
        <v/>
      </c>
      <c r="O15" s="55">
        <f>IFERROR(IF($C15&lt;&gt;"x",0,IF($M15=1,F15,IF($M15=2,I15,IF($M15=3,L15,IF(E15=IF(COUNT(E15,H15,K15)=0,0,MIN(IF(E15&gt;0,E15,1E+99),IF(H15&gt;0,H15,1E+99),IF(K15&gt;0,K15,1E+99))),F15,IF(H15=IF(COUNT(E15,H15,K15)=0,0,MIN(IF(E15&gt;0,E15,1E+99),IF(H15&gt;0,H15,1E+99),IF(K15&gt;0,K15,1E+99))),I15,L15)))))),0)</f>
        <v/>
      </c>
      <c r="P15" s="90">
        <f>IFERROR(IF($C15&lt;&gt;"x",0,IF($M15=1,D15,IF($M15=2,G15,IF($M15=3,J15,IF(E15=IF(COUNT(E15,H15,K15)=0,0,MIN(IF(E15&gt;0,E15,1E+99),IF(H15&gt;0,H15,1E+99),IF(K15&gt;0,K15,1E+99))),D15,IF(H15=IF(COUNT(E15,H15,K15)=0,0,MIN(IF(E15&gt;0,E15,1E+99),IF(H15&gt;0,H15,1E+99),IF(K15&gt;0,K15,1E+99))),G15,J15)))))),0)</f>
        <v/>
      </c>
    </row>
    <row r="16" ht="18" customHeight="1">
      <c r="A16" s="33" t="inlineStr">
        <is>
          <t>1</t>
        </is>
      </c>
      <c r="B16" s="34" t="inlineStr">
        <is>
          <t>Mobilization</t>
        </is>
      </c>
      <c r="C16" s="45">
        <f>'Scope &amp; Phases'!D16</f>
        <v/>
      </c>
      <c r="D16" s="46" t="inlineStr"/>
      <c r="E16" s="47" t="n">
        <v>800</v>
      </c>
      <c r="F16" s="48" t="n">
        <v>2</v>
      </c>
      <c r="G16" s="46" t="n"/>
      <c r="H16" s="47" t="n"/>
      <c r="I16" s="48" t="n"/>
      <c r="J16" s="46" t="n"/>
      <c r="K16" s="47" t="n"/>
      <c r="L16" s="48" t="n"/>
      <c r="M16" s="48" t="n"/>
      <c r="N16" s="49">
        <f>IFERROR(IF($C16&lt;&gt;"x",0,IF($M16=1,E16,IF($M16=2,H16,IF($M16=3,K16,IF(COUNT(E16,H16,K16)=0,0,MIN(IF(E16&gt;0,E16,1E+99),IF(H16&gt;0,H16,1E+99),IF(K16&gt;0,K16,1E+99))))))),0)</f>
        <v/>
      </c>
      <c r="O16" s="50">
        <f>IFERROR(IF($C16&lt;&gt;"x",0,IF($M16=1,F16,IF($M16=2,I16,IF($M16=3,L16,IF(E16=IF(COUNT(E16,H16,K16)=0,0,MIN(IF(E16&gt;0,E16,1E+99),IF(H16&gt;0,H16,1E+99),IF(K16&gt;0,K16,1E+99))),F16,IF(H16=IF(COUNT(E16,H16,K16)=0,0,MIN(IF(E16&gt;0,E16,1E+99),IF(H16&gt;0,H16,1E+99),IF(K16&gt;0,K16,1E+99))),I16,L16)))))),0)</f>
        <v/>
      </c>
      <c r="P16" s="51">
        <f>IFERROR(IF($C16&lt;&gt;"x",0,IF($M16=1,D16,IF($M16=2,G16,IF($M16=3,J16,IF(E16=IF(COUNT(E16,H16,K16)=0,0,MIN(IF(E16&gt;0,E16,1E+99),IF(H16&gt;0,H16,1E+99),IF(K16&gt;0,K16,1E+99))),D16,IF(H16=IF(COUNT(E16,H16,K16)=0,0,MIN(IF(E16&gt;0,E16,1E+99),IF(H16&gt;0,H16,1E+99),IF(K16&gt;0,K16,1E+99))),G16,J16)))))),0)</f>
        <v/>
      </c>
    </row>
    <row r="17" ht="18" customHeight="1">
      <c r="A17" s="38" t="inlineStr">
        <is>
          <t>1</t>
        </is>
      </c>
      <c r="B17" s="60" t="inlineStr">
        <is>
          <t>Hazmat Abatement</t>
        </is>
      </c>
      <c r="C17" s="52">
        <f>'Scope &amp; Phases'!D17</f>
        <v/>
      </c>
      <c r="D17" s="9" t="n"/>
      <c r="E17" s="22" t="n"/>
      <c r="F17" s="53" t="n"/>
      <c r="G17" s="9" t="n"/>
      <c r="H17" s="22" t="n"/>
      <c r="I17" s="53" t="n"/>
      <c r="J17" s="9" t="n"/>
      <c r="K17" s="22" t="n"/>
      <c r="L17" s="53" t="n"/>
      <c r="M17" s="53" t="n"/>
      <c r="N17" s="54">
        <f>IFERROR(IF($C17&lt;&gt;"x",0,IF($M17=1,E17,IF($M17=2,H17,IF($M17=3,K17,IF(COUNT(E17,H17,K17)=0,0,MIN(IF(E17&gt;0,E17,1E+99),IF(H17&gt;0,H17,1E+99),IF(K17&gt;0,K17,1E+99))))))),0)</f>
        <v/>
      </c>
      <c r="O17" s="55">
        <f>IFERROR(IF($C17&lt;&gt;"x",0,IF($M17=1,F17,IF($M17=2,I17,IF($M17=3,L17,IF(E17=IF(COUNT(E17,H17,K17)=0,0,MIN(IF(E17&gt;0,E17,1E+99),IF(H17&gt;0,H17,1E+99),IF(K17&gt;0,K17,1E+99))),F17,IF(H17=IF(COUNT(E17,H17,K17)=0,0,MIN(IF(E17&gt;0,E17,1E+99),IF(H17&gt;0,H17,1E+99),IF(K17&gt;0,K17,1E+99))),I17,L17)))))),0)</f>
        <v/>
      </c>
      <c r="P17" s="90">
        <f>IFERROR(IF($C17&lt;&gt;"x",0,IF($M17=1,D17,IF($M17=2,G17,IF($M17=3,J17,IF(E17=IF(COUNT(E17,H17,K17)=0,0,MIN(IF(E17&gt;0,E17,1E+99),IF(H17&gt;0,H17,1E+99),IF(K17&gt;0,K17,1E+99))),D17,IF(H17=IF(COUNT(E17,H17,K17)=0,0,MIN(IF(E17&gt;0,E17,1E+99),IF(H17&gt;0,H17,1E+99),IF(K17&gt;0,K17,1E+99))),G17,J17)))))),0)</f>
        <v/>
      </c>
    </row>
    <row r="18" ht="18" customHeight="1">
      <c r="A18" s="38" t="inlineStr">
        <is>
          <t>1</t>
        </is>
      </c>
      <c r="B18" s="60" t="inlineStr">
        <is>
          <t>Selective Demolition</t>
        </is>
      </c>
      <c r="C18" s="52">
        <f>'Scope &amp; Phases'!D18</f>
        <v/>
      </c>
      <c r="D18" s="9" t="inlineStr">
        <is>
          <t>Demo Pros LLC</t>
        </is>
      </c>
      <c r="E18" s="22" t="n">
        <v>4750</v>
      </c>
      <c r="F18" s="53" t="n">
        <v>6</v>
      </c>
      <c r="G18" s="9" t="n"/>
      <c r="H18" s="22" t="n"/>
      <c r="I18" s="53" t="n"/>
      <c r="J18" s="9" t="n"/>
      <c r="K18" s="22" t="n"/>
      <c r="L18" s="53" t="n"/>
      <c r="M18" s="53" t="n"/>
      <c r="N18" s="54">
        <f>IFERROR(IF($C18&lt;&gt;"x",0,IF($M18=1,E18,IF($M18=2,H18,IF($M18=3,K18,IF(COUNT(E18,H18,K18)=0,0,MIN(IF(E18&gt;0,E18,1E+99),IF(H18&gt;0,H18,1E+99),IF(K18&gt;0,K18,1E+99))))))),0)</f>
        <v/>
      </c>
      <c r="O18" s="55">
        <f>IFERROR(IF($C18&lt;&gt;"x",0,IF($M18=1,F18,IF($M18=2,I18,IF($M18=3,L18,IF(E18=IF(COUNT(E18,H18,K18)=0,0,MIN(IF(E18&gt;0,E18,1E+99),IF(H18&gt;0,H18,1E+99),IF(K18&gt;0,K18,1E+99))),F18,IF(H18=IF(COUNT(E18,H18,K18)=0,0,MIN(IF(E18&gt;0,E18,1E+99),IF(H18&gt;0,H18,1E+99),IF(K18&gt;0,K18,1E+99))),I18,L18)))))),0)</f>
        <v/>
      </c>
      <c r="P18" s="90">
        <f>IFERROR(IF($C18&lt;&gt;"x",0,IF($M18=1,D18,IF($M18=2,G18,IF($M18=3,J18,IF(E18=IF(COUNT(E18,H18,K18)=0,0,MIN(IF(E18&gt;0,E18,1E+99),IF(H18&gt;0,H18,1E+99),IF(K18&gt;0,K18,1E+99))),D18,IF(H18=IF(COUNT(E18,H18,K18)=0,0,MIN(IF(E18&gt;0,E18,1E+99),IF(H18&gt;0,H18,1E+99),IF(K18&gt;0,K18,1E+99))),G18,J18)))))),0)</f>
        <v/>
      </c>
    </row>
    <row r="19" ht="18" customHeight="1">
      <c r="A19" s="38" t="inlineStr">
        <is>
          <t>1</t>
        </is>
      </c>
      <c r="B19" s="60" t="inlineStr">
        <is>
          <t>Excavation &amp; Grading</t>
        </is>
      </c>
      <c r="C19" s="52">
        <f>'Scope &amp; Phases'!D19</f>
        <v/>
      </c>
      <c r="D19" s="9" t="n"/>
      <c r="E19" s="22" t="n"/>
      <c r="F19" s="53" t="n"/>
      <c r="G19" s="9" t="n"/>
      <c r="H19" s="22" t="n"/>
      <c r="I19" s="53" t="n"/>
      <c r="J19" s="9" t="n"/>
      <c r="K19" s="22" t="n"/>
      <c r="L19" s="53" t="n"/>
      <c r="M19" s="53" t="n"/>
      <c r="N19" s="54">
        <f>IFERROR(IF($C19&lt;&gt;"x",0,IF($M19=1,E19,IF($M19=2,H19,IF($M19=3,K19,IF(COUNT(E19,H19,K19)=0,0,MIN(IF(E19&gt;0,E19,1E+99),IF(H19&gt;0,H19,1E+99),IF(K19&gt;0,K19,1E+99))))))),0)</f>
        <v/>
      </c>
      <c r="O19" s="55">
        <f>IFERROR(IF($C19&lt;&gt;"x",0,IF($M19=1,F19,IF($M19=2,I19,IF($M19=3,L19,IF(E19=IF(COUNT(E19,H19,K19)=0,0,MIN(IF(E19&gt;0,E19,1E+99),IF(H19&gt;0,H19,1E+99),IF(K19&gt;0,K19,1E+99))),F19,IF(H19=IF(COUNT(E19,H19,K19)=0,0,MIN(IF(E19&gt;0,E19,1E+99),IF(H19&gt;0,H19,1E+99),IF(K19&gt;0,K19,1E+99))),I19,L19)))))),0)</f>
        <v/>
      </c>
      <c r="P19" s="90">
        <f>IFERROR(IF($C19&lt;&gt;"x",0,IF($M19=1,D19,IF($M19=2,G19,IF($M19=3,J19,IF(E19=IF(COUNT(E19,H19,K19)=0,0,MIN(IF(E19&gt;0,E19,1E+99),IF(H19&gt;0,H19,1E+99),IF(K19&gt;0,K19,1E+99))),D19,IF(H19=IF(COUNT(E19,H19,K19)=0,0,MIN(IF(E19&gt;0,E19,1E+99),IF(H19&gt;0,H19,1E+99),IF(K19&gt;0,K19,1E+99))),G19,J19)))))),0)</f>
        <v/>
      </c>
    </row>
    <row r="20" ht="18" customHeight="1">
      <c r="A20" s="38" t="inlineStr">
        <is>
          <t>1</t>
        </is>
      </c>
      <c r="B20" s="60" t="inlineStr">
        <is>
          <t>Foundation &amp; Slab</t>
        </is>
      </c>
      <c r="C20" s="52">
        <f>'Scope &amp; Phases'!D20</f>
        <v/>
      </c>
      <c r="D20" s="9" t="n"/>
      <c r="E20" s="22" t="n"/>
      <c r="F20" s="53" t="n"/>
      <c r="G20" s="9" t="n"/>
      <c r="H20" s="22" t="n"/>
      <c r="I20" s="53" t="n"/>
      <c r="J20" s="9" t="n"/>
      <c r="K20" s="22" t="n"/>
      <c r="L20" s="53" t="n"/>
      <c r="M20" s="53" t="n"/>
      <c r="N20" s="54">
        <f>IFERROR(IF($C20&lt;&gt;"x",0,IF($M20=1,E20,IF($M20=2,H20,IF($M20=3,K20,IF(COUNT(E20,H20,K20)=0,0,MIN(IF(E20&gt;0,E20,1E+99),IF(H20&gt;0,H20,1E+99),IF(K20&gt;0,K20,1E+99))))))),0)</f>
        <v/>
      </c>
      <c r="O20" s="55">
        <f>IFERROR(IF($C20&lt;&gt;"x",0,IF($M20=1,F20,IF($M20=2,I20,IF($M20=3,L20,IF(E20=IF(COUNT(E20,H20,K20)=0,0,MIN(IF(E20&gt;0,E20,1E+99),IF(H20&gt;0,H20,1E+99),IF(K20&gt;0,K20,1E+99))),F20,IF(H20=IF(COUNT(E20,H20,K20)=0,0,MIN(IF(E20&gt;0,E20,1E+99),IF(H20&gt;0,H20,1E+99),IF(K20&gt;0,K20,1E+99))),I20,L20)))))),0)</f>
        <v/>
      </c>
      <c r="P20" s="90">
        <f>IFERROR(IF($C20&lt;&gt;"x",0,IF($M20=1,D20,IF($M20=2,G20,IF($M20=3,J20,IF(E20=IF(COUNT(E20,H20,K20)=0,0,MIN(IF(E20&gt;0,E20,1E+99),IF(H20&gt;0,H20,1E+99),IF(K20&gt;0,K20,1E+99))),D20,IF(H20=IF(COUNT(E20,H20,K20)=0,0,MIN(IF(E20&gt;0,E20,1E+99),IF(H20&gt;0,H20,1E+99),IF(K20&gt;0,K20,1E+99))),G20,J20)))))),0)</f>
        <v/>
      </c>
    </row>
    <row r="21" ht="18" customHeight="1">
      <c r="A21" s="38" t="inlineStr">
        <is>
          <t>1</t>
        </is>
      </c>
      <c r="B21" s="60" t="inlineStr">
        <is>
          <t>Underground Plumbing</t>
        </is>
      </c>
      <c r="C21" s="52">
        <f>'Scope &amp; Phases'!D21</f>
        <v/>
      </c>
      <c r="D21" s="9" t="n"/>
      <c r="E21" s="22" t="n"/>
      <c r="F21" s="53" t="n"/>
      <c r="G21" s="9" t="n"/>
      <c r="H21" s="22" t="n"/>
      <c r="I21" s="53" t="n"/>
      <c r="J21" s="9" t="n"/>
      <c r="K21" s="22" t="n"/>
      <c r="L21" s="53" t="n"/>
      <c r="M21" s="53" t="n"/>
      <c r="N21" s="54">
        <f>IFERROR(IF($C21&lt;&gt;"x",0,IF($M21=1,E21,IF($M21=2,H21,IF($M21=3,K21,IF(COUNT(E21,H21,K21)=0,0,MIN(IF(E21&gt;0,E21,1E+99),IF(H21&gt;0,H21,1E+99),IF(K21&gt;0,K21,1E+99))))))),0)</f>
        <v/>
      </c>
      <c r="O21" s="55">
        <f>IFERROR(IF($C21&lt;&gt;"x",0,IF($M21=1,F21,IF($M21=2,I21,IF($M21=3,L21,IF(E21=IF(COUNT(E21,H21,K21)=0,0,MIN(IF(E21&gt;0,E21,1E+99),IF(H21&gt;0,H21,1E+99),IF(K21&gt;0,K21,1E+99))),F21,IF(H21=IF(COUNT(E21,H21,K21)=0,0,MIN(IF(E21&gt;0,E21,1E+99),IF(H21&gt;0,H21,1E+99),IF(K21&gt;0,K21,1E+99))),I21,L21)))))),0)</f>
        <v/>
      </c>
      <c r="P21" s="90">
        <f>IFERROR(IF($C21&lt;&gt;"x",0,IF($M21=1,D21,IF($M21=2,G21,IF($M21=3,J21,IF(E21=IF(COUNT(E21,H21,K21)=0,0,MIN(IF(E21&gt;0,E21,1E+99),IF(H21&gt;0,H21,1E+99),IF(K21&gt;0,K21,1E+99))),D21,IF(H21=IF(COUNT(E21,H21,K21)=0,0,MIN(IF(E21&gt;0,E21,1E+99),IF(H21&gt;0,H21,1E+99),IF(K21&gt;0,K21,1E+99))),G21,J21)))))),0)</f>
        <v/>
      </c>
    </row>
    <row r="22" ht="18" customHeight="1">
      <c r="A22" s="38" t="inlineStr">
        <is>
          <t>1</t>
        </is>
      </c>
      <c r="B22" s="60" t="inlineStr">
        <is>
          <t>Septic</t>
        </is>
      </c>
      <c r="C22" s="52">
        <f>'Scope &amp; Phases'!D22</f>
        <v/>
      </c>
      <c r="D22" s="9" t="n"/>
      <c r="E22" s="22" t="n"/>
      <c r="F22" s="53" t="n"/>
      <c r="G22" s="9" t="n"/>
      <c r="H22" s="22" t="n"/>
      <c r="I22" s="53" t="n"/>
      <c r="J22" s="9" t="n"/>
      <c r="K22" s="22" t="n"/>
      <c r="L22" s="53" t="n"/>
      <c r="M22" s="53" t="n"/>
      <c r="N22" s="54">
        <f>IFERROR(IF($C22&lt;&gt;"x",0,IF($M22=1,E22,IF($M22=2,H22,IF($M22=3,K22,IF(COUNT(E22,H22,K22)=0,0,MIN(IF(E22&gt;0,E22,1E+99),IF(H22&gt;0,H22,1E+99),IF(K22&gt;0,K22,1E+99))))))),0)</f>
        <v/>
      </c>
      <c r="O22" s="55">
        <f>IFERROR(IF($C22&lt;&gt;"x",0,IF($M22=1,F22,IF($M22=2,I22,IF($M22=3,L22,IF(E22=IF(COUNT(E22,H22,K22)=0,0,MIN(IF(E22&gt;0,E22,1E+99),IF(H22&gt;0,H22,1E+99),IF(K22&gt;0,K22,1E+99))),F22,IF(H22=IF(COUNT(E22,H22,K22)=0,0,MIN(IF(E22&gt;0,E22,1E+99),IF(H22&gt;0,H22,1E+99),IF(K22&gt;0,K22,1E+99))),I22,L22)))))),0)</f>
        <v/>
      </c>
      <c r="P22" s="90">
        <f>IFERROR(IF($C22&lt;&gt;"x",0,IF($M22=1,D22,IF($M22=2,G22,IF($M22=3,J22,IF(E22=IF(COUNT(E22,H22,K22)=0,0,MIN(IF(E22&gt;0,E22,1E+99),IF(H22&gt;0,H22,1E+99),IF(K22&gt;0,K22,1E+99))),D22,IF(H22=IF(COUNT(E22,H22,K22)=0,0,MIN(IF(E22&gt;0,E22,1E+99),IF(H22&gt;0,H22,1E+99),IF(K22&gt;0,K22,1E+99))),G22,J22)))))),0)</f>
        <v/>
      </c>
    </row>
    <row r="23" ht="18" customHeight="1">
      <c r="A23" s="38" t="inlineStr">
        <is>
          <t>1</t>
        </is>
      </c>
      <c r="B23" s="60" t="inlineStr">
        <is>
          <t>Underground Electrical &amp; Service</t>
        </is>
      </c>
      <c r="C23" s="52">
        <f>'Scope &amp; Phases'!D23</f>
        <v/>
      </c>
      <c r="D23" s="9" t="n"/>
      <c r="E23" s="22" t="n"/>
      <c r="F23" s="53" t="n"/>
      <c r="G23" s="9" t="n"/>
      <c r="H23" s="22" t="n"/>
      <c r="I23" s="53" t="n"/>
      <c r="J23" s="9" t="n"/>
      <c r="K23" s="22" t="n"/>
      <c r="L23" s="53" t="n"/>
      <c r="M23" s="53" t="n"/>
      <c r="N23" s="54">
        <f>IFERROR(IF($C23&lt;&gt;"x",0,IF($M23=1,E23,IF($M23=2,H23,IF($M23=3,K23,IF(COUNT(E23,H23,K23)=0,0,MIN(IF(E23&gt;0,E23,1E+99),IF(H23&gt;0,H23,1E+99),IF(K23&gt;0,K23,1E+99))))))),0)</f>
        <v/>
      </c>
      <c r="O23" s="55">
        <f>IFERROR(IF($C23&lt;&gt;"x",0,IF($M23=1,F23,IF($M23=2,I23,IF($M23=3,L23,IF(E23=IF(COUNT(E23,H23,K23)=0,0,MIN(IF(E23&gt;0,E23,1E+99),IF(H23&gt;0,H23,1E+99),IF(K23&gt;0,K23,1E+99))),F23,IF(H23=IF(COUNT(E23,H23,K23)=0,0,MIN(IF(E23&gt;0,E23,1E+99),IF(H23&gt;0,H23,1E+99),IF(K23&gt;0,K23,1E+99))),I23,L23)))))),0)</f>
        <v/>
      </c>
      <c r="P23" s="90">
        <f>IFERROR(IF($C23&lt;&gt;"x",0,IF($M23=1,D23,IF($M23=2,G23,IF($M23=3,J23,IF(E23=IF(COUNT(E23,H23,K23)=0,0,MIN(IF(E23&gt;0,E23,1E+99),IF(H23&gt;0,H23,1E+99),IF(K23&gt;0,K23,1E+99))),D23,IF(H23=IF(COUNT(E23,H23,K23)=0,0,MIN(IF(E23&gt;0,E23,1E+99),IF(H23&gt;0,H23,1E+99),IF(K23&gt;0,K23,1E+99))),G23,J23)))))),0)</f>
        <v/>
      </c>
    </row>
    <row r="24" ht="18" customHeight="1">
      <c r="A24" s="38" t="inlineStr">
        <is>
          <t>1</t>
        </is>
      </c>
      <c r="B24" s="60" t="inlineStr">
        <is>
          <t>Pest &amp; Soil Treatment</t>
        </is>
      </c>
      <c r="C24" s="52">
        <f>'Scope &amp; Phases'!D24</f>
        <v/>
      </c>
      <c r="D24" s="9" t="inlineStr"/>
      <c r="E24" s="22" t="n">
        <v>450</v>
      </c>
      <c r="F24" s="53" t="n">
        <v>1</v>
      </c>
      <c r="G24" s="9" t="n"/>
      <c r="H24" s="22" t="n"/>
      <c r="I24" s="53" t="n"/>
      <c r="J24" s="9" t="n"/>
      <c r="K24" s="22" t="n"/>
      <c r="L24" s="53" t="n"/>
      <c r="M24" s="53" t="n"/>
      <c r="N24" s="54">
        <f>IFERROR(IF($C24&lt;&gt;"x",0,IF($M24=1,E24,IF($M24=2,H24,IF($M24=3,K24,IF(COUNT(E24,H24,K24)=0,0,MIN(IF(E24&gt;0,E24,1E+99),IF(H24&gt;0,H24,1E+99),IF(K24&gt;0,K24,1E+99))))))),0)</f>
        <v/>
      </c>
      <c r="O24" s="55">
        <f>IFERROR(IF($C24&lt;&gt;"x",0,IF($M24=1,F24,IF($M24=2,I24,IF($M24=3,L24,IF(E24=IF(COUNT(E24,H24,K24)=0,0,MIN(IF(E24&gt;0,E24,1E+99),IF(H24&gt;0,H24,1E+99),IF(K24&gt;0,K24,1E+99))),F24,IF(H24=IF(COUNT(E24,H24,K24)=0,0,MIN(IF(E24&gt;0,E24,1E+99),IF(H24&gt;0,H24,1E+99),IF(K24&gt;0,K24,1E+99))),I24,L24)))))),0)</f>
        <v/>
      </c>
      <c r="P24" s="90">
        <f>IFERROR(IF($C24&lt;&gt;"x",0,IF($M24=1,D24,IF($M24=2,G24,IF($M24=3,J24,IF(E24=IF(COUNT(E24,H24,K24)=0,0,MIN(IF(E24&gt;0,E24,1E+99),IF(H24&gt;0,H24,1E+99),IF(K24&gt;0,K24,1E+99))),D24,IF(H24=IF(COUNT(E24,H24,K24)=0,0,MIN(IF(E24&gt;0,E24,1E+99),IF(H24&gt;0,H24,1E+99),IF(K24&gt;0,K24,1E+99))),G24,J24)))))),0)</f>
        <v/>
      </c>
    </row>
    <row r="25" ht="18" customHeight="1">
      <c r="A25" s="33" t="inlineStr">
        <is>
          <t>2</t>
        </is>
      </c>
      <c r="B25" s="34" t="inlineStr">
        <is>
          <t>Framing Labor</t>
        </is>
      </c>
      <c r="C25" s="45">
        <f>'Scope &amp; Phases'!D25</f>
        <v/>
      </c>
      <c r="D25" s="46" t="inlineStr">
        <is>
          <t>Framing Done Right LLC</t>
        </is>
      </c>
      <c r="E25" s="47" t="n">
        <v>3350</v>
      </c>
      <c r="F25" s="48" t="n">
        <v>6</v>
      </c>
      <c r="G25" s="46" t="n"/>
      <c r="H25" s="47" t="n"/>
      <c r="I25" s="48" t="n"/>
      <c r="J25" s="46" t="n"/>
      <c r="K25" s="47" t="n"/>
      <c r="L25" s="48" t="n"/>
      <c r="M25" s="48" t="n"/>
      <c r="N25" s="49">
        <f>IFERROR(IF($C25&lt;&gt;"x",0,IF($M25=1,E25,IF($M25=2,H25,IF($M25=3,K25,IF(COUNT(E25,H25,K25)=0,0,MIN(IF(E25&gt;0,E25,1E+99),IF(H25&gt;0,H25,1E+99),IF(K25&gt;0,K25,1E+99))))))),0)</f>
        <v/>
      </c>
      <c r="O25" s="50">
        <f>IFERROR(IF($C25&lt;&gt;"x",0,IF($M25=1,F25,IF($M25=2,I25,IF($M25=3,L25,IF(E25=IF(COUNT(E25,H25,K25)=0,0,MIN(IF(E25&gt;0,E25,1E+99),IF(H25&gt;0,H25,1E+99),IF(K25&gt;0,K25,1E+99))),F25,IF(H25=IF(COUNT(E25,H25,K25)=0,0,MIN(IF(E25&gt;0,E25,1E+99),IF(H25&gt;0,H25,1E+99),IF(K25&gt;0,K25,1E+99))),I25,L25)))))),0)</f>
        <v/>
      </c>
      <c r="P25" s="51">
        <f>IFERROR(IF($C25&lt;&gt;"x",0,IF($M25=1,D25,IF($M25=2,G25,IF($M25=3,J25,IF(E25=IF(COUNT(E25,H25,K25)=0,0,MIN(IF(E25&gt;0,E25,1E+99),IF(H25&gt;0,H25,1E+99),IF(K25&gt;0,K25,1E+99))),D25,IF(H25=IF(COUNT(E25,H25,K25)=0,0,MIN(IF(E25&gt;0,E25,1E+99),IF(H25&gt;0,H25,1E+99),IF(K25&gt;0,K25,1E+99))),G25,J25)))))),0)</f>
        <v/>
      </c>
    </row>
    <row r="26" ht="18" customHeight="1">
      <c r="A26" s="38" t="inlineStr">
        <is>
          <t>2</t>
        </is>
      </c>
      <c r="B26" s="60" t="inlineStr">
        <is>
          <t>Framing Material</t>
        </is>
      </c>
      <c r="C26" s="52">
        <f>'Scope &amp; Phases'!D26</f>
        <v/>
      </c>
      <c r="D26" s="9" t="inlineStr">
        <is>
          <t>84 Lumber</t>
        </is>
      </c>
      <c r="E26" s="22" t="n">
        <v>2725</v>
      </c>
      <c r="F26" s="53" t="n">
        <v>2</v>
      </c>
      <c r="G26" s="9" t="n"/>
      <c r="H26" s="22" t="n"/>
      <c r="I26" s="53" t="n"/>
      <c r="J26" s="9" t="n"/>
      <c r="K26" s="22" t="n"/>
      <c r="L26" s="53" t="n"/>
      <c r="M26" s="53" t="n"/>
      <c r="N26" s="54">
        <f>IFERROR(IF($C26&lt;&gt;"x",0,IF($M26=1,E26,IF($M26=2,H26,IF($M26=3,K26,IF(COUNT(E26,H26,K26)=0,0,MIN(IF(E26&gt;0,E26,1E+99),IF(H26&gt;0,H26,1E+99),IF(K26&gt;0,K26,1E+99))))))),0)</f>
        <v/>
      </c>
      <c r="O26" s="55">
        <f>IFERROR(IF($C26&lt;&gt;"x",0,IF($M26=1,F26,IF($M26=2,I26,IF($M26=3,L26,IF(E26=IF(COUNT(E26,H26,K26)=0,0,MIN(IF(E26&gt;0,E26,1E+99),IF(H26&gt;0,H26,1E+99),IF(K26&gt;0,K26,1E+99))),F26,IF(H26=IF(COUNT(E26,H26,K26)=0,0,MIN(IF(E26&gt;0,E26,1E+99),IF(H26&gt;0,H26,1E+99),IF(K26&gt;0,K26,1E+99))),I26,L26)))))),0)</f>
        <v/>
      </c>
      <c r="P26" s="90">
        <f>IFERROR(IF($C26&lt;&gt;"x",0,IF($M26=1,D26,IF($M26=2,G26,IF($M26=3,J26,IF(E26=IF(COUNT(E26,H26,K26)=0,0,MIN(IF(E26&gt;0,E26,1E+99),IF(H26&gt;0,H26,1E+99),IF(K26&gt;0,K26,1E+99))),D26,IF(H26=IF(COUNT(E26,H26,K26)=0,0,MIN(IF(E26&gt;0,E26,1E+99),IF(H26&gt;0,H26,1E+99),IF(K26&gt;0,K26,1E+99))),G26,J26)))))),0)</f>
        <v/>
      </c>
    </row>
    <row r="27" ht="18" customHeight="1">
      <c r="A27" s="38" t="inlineStr">
        <is>
          <t>2</t>
        </is>
      </c>
      <c r="B27" s="60" t="inlineStr">
        <is>
          <t>Structural Steel &amp; Beams</t>
        </is>
      </c>
      <c r="C27" s="52">
        <f>'Scope &amp; Phases'!D27</f>
        <v/>
      </c>
      <c r="D27" s="9" t="n"/>
      <c r="E27" s="22" t="n"/>
      <c r="F27" s="53" t="n"/>
      <c r="G27" s="9" t="n"/>
      <c r="H27" s="22" t="n"/>
      <c r="I27" s="53" t="n"/>
      <c r="J27" s="9" t="n"/>
      <c r="K27" s="22" t="n"/>
      <c r="L27" s="53" t="n"/>
      <c r="M27" s="53" t="n"/>
      <c r="N27" s="54">
        <f>IFERROR(IF($C27&lt;&gt;"x",0,IF($M27=1,E27,IF($M27=2,H27,IF($M27=3,K27,IF(COUNT(E27,H27,K27)=0,0,MIN(IF(E27&gt;0,E27,1E+99),IF(H27&gt;0,H27,1E+99),IF(K27&gt;0,K27,1E+99))))))),0)</f>
        <v/>
      </c>
      <c r="O27" s="55">
        <f>IFERROR(IF($C27&lt;&gt;"x",0,IF($M27=1,F27,IF($M27=2,I27,IF($M27=3,L27,IF(E27=IF(COUNT(E27,H27,K27)=0,0,MIN(IF(E27&gt;0,E27,1E+99),IF(H27&gt;0,H27,1E+99),IF(K27&gt;0,K27,1E+99))),F27,IF(H27=IF(COUNT(E27,H27,K27)=0,0,MIN(IF(E27&gt;0,E27,1E+99),IF(H27&gt;0,H27,1E+99),IF(K27&gt;0,K27,1E+99))),I27,L27)))))),0)</f>
        <v/>
      </c>
      <c r="P27" s="90">
        <f>IFERROR(IF($C27&lt;&gt;"x",0,IF($M27=1,D27,IF($M27=2,G27,IF($M27=3,J27,IF(E27=IF(COUNT(E27,H27,K27)=0,0,MIN(IF(E27&gt;0,E27,1E+99),IF(H27&gt;0,H27,1E+99),IF(K27&gt;0,K27,1E+99))),D27,IF(H27=IF(COUNT(E27,H27,K27)=0,0,MIN(IF(E27&gt;0,E27,1E+99),IF(H27&gt;0,H27,1E+99),IF(K27&gt;0,K27,1E+99))),G27,J27)))))),0)</f>
        <v/>
      </c>
    </row>
    <row r="28" ht="18" customHeight="1">
      <c r="A28" s="38" t="inlineStr">
        <is>
          <t>2</t>
        </is>
      </c>
      <c r="B28" s="60" t="inlineStr">
        <is>
          <t>Roofing</t>
        </is>
      </c>
      <c r="C28" s="52">
        <f>'Scope &amp; Phases'!D28</f>
        <v/>
      </c>
      <c r="D28" s="9" t="inlineStr">
        <is>
          <t>Sun Valley Roofing</t>
        </is>
      </c>
      <c r="E28" s="22" t="n">
        <v>6950</v>
      </c>
      <c r="F28" s="53" t="n">
        <v>4</v>
      </c>
      <c r="G28" s="9" t="inlineStr">
        <is>
          <t>Desert Ridge Roofing</t>
        </is>
      </c>
      <c r="H28" s="22" t="n">
        <v>7925</v>
      </c>
      <c r="I28" s="53" t="n">
        <v>5</v>
      </c>
      <c r="J28" s="9" t="inlineStr">
        <is>
          <t>AZ Peak Roofing</t>
        </is>
      </c>
      <c r="K28" s="22" t="n">
        <v>7375</v>
      </c>
      <c r="L28" s="53" t="n">
        <v>3</v>
      </c>
      <c r="M28" s="53" t="n"/>
      <c r="N28" s="54">
        <f>IFERROR(IF($C28&lt;&gt;"x",0,IF($M28=1,E28,IF($M28=2,H28,IF($M28=3,K28,IF(COUNT(E28,H28,K28)=0,0,MIN(IF(E28&gt;0,E28,1E+99),IF(H28&gt;0,H28,1E+99),IF(K28&gt;0,K28,1E+99))))))),0)</f>
        <v/>
      </c>
      <c r="O28" s="55">
        <f>IFERROR(IF($C28&lt;&gt;"x",0,IF($M28=1,F28,IF($M28=2,I28,IF($M28=3,L28,IF(E28=IF(COUNT(E28,H28,K28)=0,0,MIN(IF(E28&gt;0,E28,1E+99),IF(H28&gt;0,H28,1E+99),IF(K28&gt;0,K28,1E+99))),F28,IF(H28=IF(COUNT(E28,H28,K28)=0,0,MIN(IF(E28&gt;0,E28,1E+99),IF(H28&gt;0,H28,1E+99),IF(K28&gt;0,K28,1E+99))),I28,L28)))))),0)</f>
        <v/>
      </c>
      <c r="P28" s="90">
        <f>IFERROR(IF($C28&lt;&gt;"x",0,IF($M28=1,D28,IF($M28=2,G28,IF($M28=3,J28,IF(E28=IF(COUNT(E28,H28,K28)=0,0,MIN(IF(E28&gt;0,E28,1E+99),IF(H28&gt;0,H28,1E+99),IF(K28&gt;0,K28,1E+99))),D28,IF(H28=IF(COUNT(E28,H28,K28)=0,0,MIN(IF(E28&gt;0,E28,1E+99),IF(H28&gt;0,H28,1E+99),IF(K28&gt;0,K28,1E+99))),G28,J28)))))),0)</f>
        <v/>
      </c>
    </row>
    <row r="29" ht="18" customHeight="1">
      <c r="A29" s="38" t="inlineStr">
        <is>
          <t>2</t>
        </is>
      </c>
      <c r="B29" s="60" t="inlineStr">
        <is>
          <t>Windows &amp; Exterior Doors</t>
        </is>
      </c>
      <c r="C29" s="52">
        <f>'Scope &amp; Phases'!D29</f>
        <v/>
      </c>
      <c r="D29" s="9" t="inlineStr">
        <is>
          <t>Arcadia Glass Co</t>
        </is>
      </c>
      <c r="E29" s="22" t="n">
        <v>5450</v>
      </c>
      <c r="F29" s="53" t="n">
        <v>3</v>
      </c>
      <c r="G29" s="9" t="n"/>
      <c r="H29" s="22" t="n"/>
      <c r="I29" s="53" t="n"/>
      <c r="J29" s="9" t="n"/>
      <c r="K29" s="22" t="n"/>
      <c r="L29" s="53" t="n"/>
      <c r="M29" s="53" t="n"/>
      <c r="N29" s="54">
        <f>IFERROR(IF($C29&lt;&gt;"x",0,IF($M29=1,E29,IF($M29=2,H29,IF($M29=3,K29,IF(COUNT(E29,H29,K29)=0,0,MIN(IF(E29&gt;0,E29,1E+99),IF(H29&gt;0,H29,1E+99),IF(K29&gt;0,K29,1E+99))))))),0)</f>
        <v/>
      </c>
      <c r="O29" s="55">
        <f>IFERROR(IF($C29&lt;&gt;"x",0,IF($M29=1,F29,IF($M29=2,I29,IF($M29=3,L29,IF(E29=IF(COUNT(E29,H29,K29)=0,0,MIN(IF(E29&gt;0,E29,1E+99),IF(H29&gt;0,H29,1E+99),IF(K29&gt;0,K29,1E+99))),F29,IF(H29=IF(COUNT(E29,H29,K29)=0,0,MIN(IF(E29&gt;0,E29,1E+99),IF(H29&gt;0,H29,1E+99),IF(K29&gt;0,K29,1E+99))),I29,L29)))))),0)</f>
        <v/>
      </c>
      <c r="P29" s="90">
        <f>IFERROR(IF($C29&lt;&gt;"x",0,IF($M29=1,D29,IF($M29=2,G29,IF($M29=3,J29,IF(E29=IF(COUNT(E29,H29,K29)=0,0,MIN(IF(E29&gt;0,E29,1E+99),IF(H29&gt;0,H29,1E+99),IF(K29&gt;0,K29,1E+99))),D29,IF(H29=IF(COUNT(E29,H29,K29)=0,0,MIN(IF(E29&gt;0,E29,1E+99),IF(H29&gt;0,H29,1E+99),IF(K29&gt;0,K29,1E+99))),G29,J29)))))),0)</f>
        <v/>
      </c>
    </row>
    <row r="30" ht="18" customHeight="1">
      <c r="A30" s="38" t="inlineStr">
        <is>
          <t>2</t>
        </is>
      </c>
      <c r="B30" s="60" t="inlineStr">
        <is>
          <t>Rough Plumbing</t>
        </is>
      </c>
      <c r="C30" s="52">
        <f>'Scope &amp; Phases'!D30</f>
        <v/>
      </c>
      <c r="D30" s="9" t="inlineStr">
        <is>
          <t>Copperline Plumbing</t>
        </is>
      </c>
      <c r="E30" s="22" t="n">
        <v>3875</v>
      </c>
      <c r="F30" s="53" t="n">
        <v>5</v>
      </c>
      <c r="G30" s="9" t="n"/>
      <c r="H30" s="22" t="n"/>
      <c r="I30" s="53" t="n"/>
      <c r="J30" s="9" t="n"/>
      <c r="K30" s="22" t="n"/>
      <c r="L30" s="53" t="n"/>
      <c r="M30" s="53" t="n"/>
      <c r="N30" s="54">
        <f>IFERROR(IF($C30&lt;&gt;"x",0,IF($M30=1,E30,IF($M30=2,H30,IF($M30=3,K30,IF(COUNT(E30,H30,K30)=0,0,MIN(IF(E30&gt;0,E30,1E+99),IF(H30&gt;0,H30,1E+99),IF(K30&gt;0,K30,1E+99))))))),0)</f>
        <v/>
      </c>
      <c r="O30" s="55">
        <f>IFERROR(IF($C30&lt;&gt;"x",0,IF($M30=1,F30,IF($M30=2,I30,IF($M30=3,L30,IF(E30=IF(COUNT(E30,H30,K30)=0,0,MIN(IF(E30&gt;0,E30,1E+99),IF(H30&gt;0,H30,1E+99),IF(K30&gt;0,K30,1E+99))),F30,IF(H30=IF(COUNT(E30,H30,K30)=0,0,MIN(IF(E30&gt;0,E30,1E+99),IF(H30&gt;0,H30,1E+99),IF(K30&gt;0,K30,1E+99))),I30,L30)))))),0)</f>
        <v/>
      </c>
      <c r="P30" s="90">
        <f>IFERROR(IF($C30&lt;&gt;"x",0,IF($M30=1,D30,IF($M30=2,G30,IF($M30=3,J30,IF(E30=IF(COUNT(E30,H30,K30)=0,0,MIN(IF(E30&gt;0,E30,1E+99),IF(H30&gt;0,H30,1E+99),IF(K30&gt;0,K30,1E+99))),D30,IF(H30=IF(COUNT(E30,H30,K30)=0,0,MIN(IF(E30&gt;0,E30,1E+99),IF(H30&gt;0,H30,1E+99),IF(K30&gt;0,K30,1E+99))),G30,J30)))))),0)</f>
        <v/>
      </c>
    </row>
    <row r="31" ht="18" customHeight="1">
      <c r="A31" s="38" t="inlineStr">
        <is>
          <t>2</t>
        </is>
      </c>
      <c r="B31" s="60" t="inlineStr">
        <is>
          <t>Rough Electrical</t>
        </is>
      </c>
      <c r="C31" s="52">
        <f>'Scope &amp; Phases'!D31</f>
        <v/>
      </c>
      <c r="D31" s="9" t="inlineStr">
        <is>
          <t>Voltz Electric</t>
        </is>
      </c>
      <c r="E31" s="22" t="n">
        <v>4300</v>
      </c>
      <c r="F31" s="53" t="n">
        <v>6</v>
      </c>
      <c r="G31" s="9" t="inlineStr">
        <is>
          <t>Mesa Sparks LLC</t>
        </is>
      </c>
      <c r="H31" s="22" t="n">
        <v>4900</v>
      </c>
      <c r="I31" s="53" t="n">
        <v>7</v>
      </c>
      <c r="J31" s="9" t="inlineStr">
        <is>
          <t>Rincon Electrical</t>
        </is>
      </c>
      <c r="K31" s="22" t="n">
        <v>4550</v>
      </c>
      <c r="L31" s="53" t="n">
        <v>5</v>
      </c>
      <c r="M31" s="53" t="n"/>
      <c r="N31" s="54">
        <f>IFERROR(IF($C31&lt;&gt;"x",0,IF($M31=1,E31,IF($M31=2,H31,IF($M31=3,K31,IF(COUNT(E31,H31,K31)=0,0,MIN(IF(E31&gt;0,E31,1E+99),IF(H31&gt;0,H31,1E+99),IF(K31&gt;0,K31,1E+99))))))),0)</f>
        <v/>
      </c>
      <c r="O31" s="55">
        <f>IFERROR(IF($C31&lt;&gt;"x",0,IF($M31=1,F31,IF($M31=2,I31,IF($M31=3,L31,IF(E31=IF(COUNT(E31,H31,K31)=0,0,MIN(IF(E31&gt;0,E31,1E+99),IF(H31&gt;0,H31,1E+99),IF(K31&gt;0,K31,1E+99))),F31,IF(H31=IF(COUNT(E31,H31,K31)=0,0,MIN(IF(E31&gt;0,E31,1E+99),IF(H31&gt;0,H31,1E+99),IF(K31&gt;0,K31,1E+99))),I31,L31)))))),0)</f>
        <v/>
      </c>
      <c r="P31" s="90">
        <f>IFERROR(IF($C31&lt;&gt;"x",0,IF($M31=1,D31,IF($M31=2,G31,IF($M31=3,J31,IF(E31=IF(COUNT(E31,H31,K31)=0,0,MIN(IF(E31&gt;0,E31,1E+99),IF(H31&gt;0,H31,1E+99),IF(K31&gt;0,K31,1E+99))),D31,IF(H31=IF(COUNT(E31,H31,K31)=0,0,MIN(IF(E31&gt;0,E31,1E+99),IF(H31&gt;0,H31,1E+99),IF(K31&gt;0,K31,1E+99))),G31,J31)))))),0)</f>
        <v/>
      </c>
    </row>
    <row r="32" ht="18" customHeight="1">
      <c r="A32" s="38" t="inlineStr">
        <is>
          <t>2</t>
        </is>
      </c>
      <c r="B32" s="60" t="inlineStr">
        <is>
          <t>Rough HVAC</t>
        </is>
      </c>
      <c r="C32" s="52">
        <f>'Scope &amp; Phases'!D32</f>
        <v/>
      </c>
      <c r="D32" s="9" t="inlineStr">
        <is>
          <t>Sonoran Air</t>
        </is>
      </c>
      <c r="E32" s="22" t="n">
        <v>5975</v>
      </c>
      <c r="F32" s="53" t="n">
        <v>4</v>
      </c>
      <c r="G32" s="9" t="n"/>
      <c r="H32" s="22" t="n"/>
      <c r="I32" s="53" t="n"/>
      <c r="J32" s="9" t="n"/>
      <c r="K32" s="22" t="n"/>
      <c r="L32" s="53" t="n"/>
      <c r="M32" s="53" t="n"/>
      <c r="N32" s="54">
        <f>IFERROR(IF($C32&lt;&gt;"x",0,IF($M32=1,E32,IF($M32=2,H32,IF($M32=3,K32,IF(COUNT(E32,H32,K32)=0,0,MIN(IF(E32&gt;0,E32,1E+99),IF(H32&gt;0,H32,1E+99),IF(K32&gt;0,K32,1E+99))))))),0)</f>
        <v/>
      </c>
      <c r="O32" s="55">
        <f>IFERROR(IF($C32&lt;&gt;"x",0,IF($M32=1,F32,IF($M32=2,I32,IF($M32=3,L32,IF(E32=IF(COUNT(E32,H32,K32)=0,0,MIN(IF(E32&gt;0,E32,1E+99),IF(H32&gt;0,H32,1E+99),IF(K32&gt;0,K32,1E+99))),F32,IF(H32=IF(COUNT(E32,H32,K32)=0,0,MIN(IF(E32&gt;0,E32,1E+99),IF(H32&gt;0,H32,1E+99),IF(K32&gt;0,K32,1E+99))),I32,L32)))))),0)</f>
        <v/>
      </c>
      <c r="P32" s="90">
        <f>IFERROR(IF($C32&lt;&gt;"x",0,IF($M32=1,D32,IF($M32=2,G32,IF($M32=3,J32,IF(E32=IF(COUNT(E32,H32,K32)=0,0,MIN(IF(E32&gt;0,E32,1E+99),IF(H32&gt;0,H32,1E+99),IF(K32&gt;0,K32,1E+99))),D32,IF(H32=IF(COUNT(E32,H32,K32)=0,0,MIN(IF(E32&gt;0,E32,1E+99),IF(H32&gt;0,H32,1E+99),IF(K32&gt;0,K32,1E+99))),G32,J32)))))),0)</f>
        <v/>
      </c>
    </row>
    <row r="33" ht="18" customHeight="1">
      <c r="A33" s="38" t="inlineStr">
        <is>
          <t>2</t>
        </is>
      </c>
      <c r="B33" s="60" t="inlineStr">
        <is>
          <t>Low Voltage Rough</t>
        </is>
      </c>
      <c r="C33" s="52">
        <f>'Scope &amp; Phases'!D33</f>
        <v/>
      </c>
      <c r="D33" s="9" t="n"/>
      <c r="E33" s="22" t="n"/>
      <c r="F33" s="53" t="n"/>
      <c r="G33" s="9" t="n"/>
      <c r="H33" s="22" t="n"/>
      <c r="I33" s="53" t="n"/>
      <c r="J33" s="9" t="n"/>
      <c r="K33" s="22" t="n"/>
      <c r="L33" s="53" t="n"/>
      <c r="M33" s="53" t="n"/>
      <c r="N33" s="54">
        <f>IFERROR(IF($C33&lt;&gt;"x",0,IF($M33=1,E33,IF($M33=2,H33,IF($M33=3,K33,IF(COUNT(E33,H33,K33)=0,0,MIN(IF(E33&gt;0,E33,1E+99),IF(H33&gt;0,H33,1E+99),IF(K33&gt;0,K33,1E+99))))))),0)</f>
        <v/>
      </c>
      <c r="O33" s="55">
        <f>IFERROR(IF($C33&lt;&gt;"x",0,IF($M33=1,F33,IF($M33=2,I33,IF($M33=3,L33,IF(E33=IF(COUNT(E33,H33,K33)=0,0,MIN(IF(E33&gt;0,E33,1E+99),IF(H33&gt;0,H33,1E+99),IF(K33&gt;0,K33,1E+99))),F33,IF(H33=IF(COUNT(E33,H33,K33)=0,0,MIN(IF(E33&gt;0,E33,1E+99),IF(H33&gt;0,H33,1E+99),IF(K33&gt;0,K33,1E+99))),I33,L33)))))),0)</f>
        <v/>
      </c>
      <c r="P33" s="90">
        <f>IFERROR(IF($C33&lt;&gt;"x",0,IF($M33=1,D33,IF($M33=2,G33,IF($M33=3,J33,IF(E33=IF(COUNT(E33,H33,K33)=0,0,MIN(IF(E33&gt;0,E33,1E+99),IF(H33&gt;0,H33,1E+99),IF(K33&gt;0,K33,1E+99))),D33,IF(H33=IF(COUNT(E33,H33,K33)=0,0,MIN(IF(E33&gt;0,E33,1E+99),IF(H33&gt;0,H33,1E+99),IF(K33&gt;0,K33,1E+99))),G33,J33)))))),0)</f>
        <v/>
      </c>
    </row>
    <row r="34" ht="18" customHeight="1">
      <c r="A34" s="38" t="inlineStr">
        <is>
          <t>2</t>
        </is>
      </c>
      <c r="B34" s="60" t="inlineStr">
        <is>
          <t>Rough Inspections</t>
        </is>
      </c>
      <c r="C34" s="52">
        <f>'Scope &amp; Phases'!D34</f>
        <v/>
      </c>
      <c r="D34" s="9" t="inlineStr"/>
      <c r="E34" s="22" t="n">
        <v>300</v>
      </c>
      <c r="F34" s="53" t="n">
        <v>3</v>
      </c>
      <c r="G34" s="9" t="n"/>
      <c r="H34" s="22" t="n"/>
      <c r="I34" s="53" t="n"/>
      <c r="J34" s="9" t="n"/>
      <c r="K34" s="22" t="n"/>
      <c r="L34" s="53" t="n"/>
      <c r="M34" s="53" t="n"/>
      <c r="N34" s="54">
        <f>IFERROR(IF($C34&lt;&gt;"x",0,IF($M34=1,E34,IF($M34=2,H34,IF($M34=3,K34,IF(COUNT(E34,H34,K34)=0,0,MIN(IF(E34&gt;0,E34,1E+99),IF(H34&gt;0,H34,1E+99),IF(K34&gt;0,K34,1E+99))))))),0)</f>
        <v/>
      </c>
      <c r="O34" s="55">
        <f>IFERROR(IF($C34&lt;&gt;"x",0,IF($M34=1,F34,IF($M34=2,I34,IF($M34=3,L34,IF(E34=IF(COUNT(E34,H34,K34)=0,0,MIN(IF(E34&gt;0,E34,1E+99),IF(H34&gt;0,H34,1E+99),IF(K34&gt;0,K34,1E+99))),F34,IF(H34=IF(COUNT(E34,H34,K34)=0,0,MIN(IF(E34&gt;0,E34,1E+99),IF(H34&gt;0,H34,1E+99),IF(K34&gt;0,K34,1E+99))),I34,L34)))))),0)</f>
        <v/>
      </c>
      <c r="P34" s="90">
        <f>IFERROR(IF($C34&lt;&gt;"x",0,IF($M34=1,D34,IF($M34=2,G34,IF($M34=3,J34,IF(E34=IF(COUNT(E34,H34,K34)=0,0,MIN(IF(E34&gt;0,E34,1E+99),IF(H34&gt;0,H34,1E+99),IF(K34&gt;0,K34,1E+99))),D34,IF(H34=IF(COUNT(E34,H34,K34)=0,0,MIN(IF(E34&gt;0,E34,1E+99),IF(H34&gt;0,H34,1E+99),IF(K34&gt;0,K34,1E+99))),G34,J34)))))),0)</f>
        <v/>
      </c>
    </row>
    <row r="35" ht="18" customHeight="1">
      <c r="A35" s="33" t="inlineStr">
        <is>
          <t>3</t>
        </is>
      </c>
      <c r="B35" s="34" t="inlineStr">
        <is>
          <t>Insulation</t>
        </is>
      </c>
      <c r="C35" s="45">
        <f>'Scope &amp; Phases'!D35</f>
        <v/>
      </c>
      <c r="D35" s="46" t="inlineStr">
        <is>
          <t>Valley Insulation</t>
        </is>
      </c>
      <c r="E35" s="47" t="n">
        <v>1850</v>
      </c>
      <c r="F35" s="48" t="n">
        <v>2</v>
      </c>
      <c r="G35" s="46" t="n"/>
      <c r="H35" s="47" t="n"/>
      <c r="I35" s="48" t="n"/>
      <c r="J35" s="46" t="n"/>
      <c r="K35" s="47" t="n"/>
      <c r="L35" s="48" t="n"/>
      <c r="M35" s="48" t="n"/>
      <c r="N35" s="49">
        <f>IFERROR(IF($C35&lt;&gt;"x",0,IF($M35=1,E35,IF($M35=2,H35,IF($M35=3,K35,IF(COUNT(E35,H35,K35)=0,0,MIN(IF(E35&gt;0,E35,1E+99),IF(H35&gt;0,H35,1E+99),IF(K35&gt;0,K35,1E+99))))))),0)</f>
        <v/>
      </c>
      <c r="O35" s="50">
        <f>IFERROR(IF($C35&lt;&gt;"x",0,IF($M35=1,F35,IF($M35=2,I35,IF($M35=3,L35,IF(E35=IF(COUNT(E35,H35,K35)=0,0,MIN(IF(E35&gt;0,E35,1E+99),IF(H35&gt;0,H35,1E+99),IF(K35&gt;0,K35,1E+99))),F35,IF(H35=IF(COUNT(E35,H35,K35)=0,0,MIN(IF(E35&gt;0,E35,1E+99),IF(H35&gt;0,H35,1E+99),IF(K35&gt;0,K35,1E+99))),I35,L35)))))),0)</f>
        <v/>
      </c>
      <c r="P35" s="51">
        <f>IFERROR(IF($C35&lt;&gt;"x",0,IF($M35=1,D35,IF($M35=2,G35,IF($M35=3,J35,IF(E35=IF(COUNT(E35,H35,K35)=0,0,MIN(IF(E35&gt;0,E35,1E+99),IF(H35&gt;0,H35,1E+99),IF(K35&gt;0,K35,1E+99))),D35,IF(H35=IF(COUNT(E35,H35,K35)=0,0,MIN(IF(E35&gt;0,E35,1E+99),IF(H35&gt;0,H35,1E+99),IF(K35&gt;0,K35,1E+99))),G35,J35)))))),0)</f>
        <v/>
      </c>
    </row>
    <row r="36" ht="18" customHeight="1">
      <c r="A36" s="38" t="inlineStr">
        <is>
          <t>3</t>
        </is>
      </c>
      <c r="B36" s="60" t="inlineStr">
        <is>
          <t>Drywall</t>
        </is>
      </c>
      <c r="C36" s="52">
        <f>'Scope &amp; Phases'!D36</f>
        <v/>
      </c>
      <c r="D36" s="9" t="inlineStr">
        <is>
          <t>Level 5 Drywall</t>
        </is>
      </c>
      <c r="E36" s="22" t="n">
        <v>5625</v>
      </c>
      <c r="F36" s="53" t="n">
        <v>8</v>
      </c>
      <c r="G36" s="9" t="inlineStr">
        <is>
          <t>Smooth Wall Co</t>
        </is>
      </c>
      <c r="H36" s="22" t="n">
        <v>6400</v>
      </c>
      <c r="I36" s="53" t="n">
        <v>9</v>
      </c>
      <c r="J36" s="9" t="inlineStr">
        <is>
          <t>Canyon Drywall</t>
        </is>
      </c>
      <c r="K36" s="22" t="n">
        <v>5950</v>
      </c>
      <c r="L36" s="53" t="n">
        <v>7</v>
      </c>
      <c r="M36" s="53" t="n"/>
      <c r="N36" s="54">
        <f>IFERROR(IF($C36&lt;&gt;"x",0,IF($M36=1,E36,IF($M36=2,H36,IF($M36=3,K36,IF(COUNT(E36,H36,K36)=0,0,MIN(IF(E36&gt;0,E36,1E+99),IF(H36&gt;0,H36,1E+99),IF(K36&gt;0,K36,1E+99))))))),0)</f>
        <v/>
      </c>
      <c r="O36" s="55">
        <f>IFERROR(IF($C36&lt;&gt;"x",0,IF($M36=1,F36,IF($M36=2,I36,IF($M36=3,L36,IF(E36=IF(COUNT(E36,H36,K36)=0,0,MIN(IF(E36&gt;0,E36,1E+99),IF(H36&gt;0,H36,1E+99),IF(K36&gt;0,K36,1E+99))),F36,IF(H36=IF(COUNT(E36,H36,K36)=0,0,MIN(IF(E36&gt;0,E36,1E+99),IF(H36&gt;0,H36,1E+99),IF(K36&gt;0,K36,1E+99))),I36,L36)))))),0)</f>
        <v/>
      </c>
      <c r="P36" s="90">
        <f>IFERROR(IF($C36&lt;&gt;"x",0,IF($M36=1,D36,IF($M36=2,G36,IF($M36=3,J36,IF(E36=IF(COUNT(E36,H36,K36)=0,0,MIN(IF(E36&gt;0,E36,1E+99),IF(H36&gt;0,H36,1E+99),IF(K36&gt;0,K36,1E+99))),D36,IF(H36=IF(COUNT(E36,H36,K36)=0,0,MIN(IF(E36&gt;0,E36,1E+99),IF(H36&gt;0,H36,1E+99),IF(K36&gt;0,K36,1E+99))),G36,J36)))))),0)</f>
        <v/>
      </c>
    </row>
    <row r="37" ht="18" customHeight="1">
      <c r="A37" s="38" t="inlineStr">
        <is>
          <t>3</t>
        </is>
      </c>
      <c r="B37" s="60" t="inlineStr">
        <is>
          <t>Interior Doors</t>
        </is>
      </c>
      <c r="C37" s="52">
        <f>'Scope &amp; Phases'!D37</f>
        <v/>
      </c>
      <c r="D37" s="9" t="inlineStr"/>
      <c r="E37" s="22" t="n">
        <v>2025</v>
      </c>
      <c r="F37" s="53" t="n">
        <v>3</v>
      </c>
      <c r="G37" s="9" t="n"/>
      <c r="H37" s="22" t="n"/>
      <c r="I37" s="53" t="n"/>
      <c r="J37" s="9" t="n"/>
      <c r="K37" s="22" t="n"/>
      <c r="L37" s="53" t="n"/>
      <c r="M37" s="53" t="n"/>
      <c r="N37" s="54">
        <f>IFERROR(IF($C37&lt;&gt;"x",0,IF($M37=1,E37,IF($M37=2,H37,IF($M37=3,K37,IF(COUNT(E37,H37,K37)=0,0,MIN(IF(E37&gt;0,E37,1E+99),IF(H37&gt;0,H37,1E+99),IF(K37&gt;0,K37,1E+99))))))),0)</f>
        <v/>
      </c>
      <c r="O37" s="55">
        <f>IFERROR(IF($C37&lt;&gt;"x",0,IF($M37=1,F37,IF($M37=2,I37,IF($M37=3,L37,IF(E37=IF(COUNT(E37,H37,K37)=0,0,MIN(IF(E37&gt;0,E37,1E+99),IF(H37&gt;0,H37,1E+99),IF(K37&gt;0,K37,1E+99))),F37,IF(H37=IF(COUNT(E37,H37,K37)=0,0,MIN(IF(E37&gt;0,E37,1E+99),IF(H37&gt;0,H37,1E+99),IF(K37&gt;0,K37,1E+99))),I37,L37)))))),0)</f>
        <v/>
      </c>
      <c r="P37" s="90">
        <f>IFERROR(IF($C37&lt;&gt;"x",0,IF($M37=1,D37,IF($M37=2,G37,IF($M37=3,J37,IF(E37=IF(COUNT(E37,H37,K37)=0,0,MIN(IF(E37&gt;0,E37,1E+99),IF(H37&gt;0,H37,1E+99),IF(K37&gt;0,K37,1E+99))),D37,IF(H37=IF(COUNT(E37,H37,K37)=0,0,MIN(IF(E37&gt;0,E37,1E+99),IF(H37&gt;0,H37,1E+99),IF(K37&gt;0,K37,1E+99))),G37,J37)))))),0)</f>
        <v/>
      </c>
    </row>
    <row r="38" ht="18" customHeight="1">
      <c r="A38" s="38" t="inlineStr">
        <is>
          <t>3</t>
        </is>
      </c>
      <c r="B38" s="60" t="inlineStr">
        <is>
          <t>Trim &amp; Millwork</t>
        </is>
      </c>
      <c r="C38" s="52">
        <f>'Scope &amp; Phases'!D38</f>
        <v/>
      </c>
      <c r="D38" s="9" t="inlineStr"/>
      <c r="E38" s="22" t="n">
        <v>2550</v>
      </c>
      <c r="F38" s="53" t="n">
        <v>4</v>
      </c>
      <c r="G38" s="9" t="n"/>
      <c r="H38" s="22" t="n"/>
      <c r="I38" s="53" t="n"/>
      <c r="J38" s="9" t="n"/>
      <c r="K38" s="22" t="n"/>
      <c r="L38" s="53" t="n"/>
      <c r="M38" s="53" t="n"/>
      <c r="N38" s="54">
        <f>IFERROR(IF($C38&lt;&gt;"x",0,IF($M38=1,E38,IF($M38=2,H38,IF($M38=3,K38,IF(COUNT(E38,H38,K38)=0,0,MIN(IF(E38&gt;0,E38,1E+99),IF(H38&gt;0,H38,1E+99),IF(K38&gt;0,K38,1E+99))))))),0)</f>
        <v/>
      </c>
      <c r="O38" s="55">
        <f>IFERROR(IF($C38&lt;&gt;"x",0,IF($M38=1,F38,IF($M38=2,I38,IF($M38=3,L38,IF(E38=IF(COUNT(E38,H38,K38)=0,0,MIN(IF(E38&gt;0,E38,1E+99),IF(H38&gt;0,H38,1E+99),IF(K38&gt;0,K38,1E+99))),F38,IF(H38=IF(COUNT(E38,H38,K38)=0,0,MIN(IF(E38&gt;0,E38,1E+99),IF(H38&gt;0,H38,1E+99),IF(K38&gt;0,K38,1E+99))),I38,L38)))))),0)</f>
        <v/>
      </c>
      <c r="P38" s="90">
        <f>IFERROR(IF($C38&lt;&gt;"x",0,IF($M38=1,D38,IF($M38=2,G38,IF($M38=3,J38,IF(E38=IF(COUNT(E38,H38,K38)=0,0,MIN(IF(E38&gt;0,E38,1E+99),IF(H38&gt;0,H38,1E+99),IF(K38&gt;0,K38,1E+99))),D38,IF(H38=IF(COUNT(E38,H38,K38)=0,0,MIN(IF(E38&gt;0,E38,1E+99),IF(H38&gt;0,H38,1E+99),IF(K38&gt;0,K38,1E+99))),G38,J38)))))),0)</f>
        <v/>
      </c>
    </row>
    <row r="39" ht="18" customHeight="1">
      <c r="A39" s="38" t="inlineStr">
        <is>
          <t>3</t>
        </is>
      </c>
      <c r="B39" s="60" t="inlineStr">
        <is>
          <t>Stairs &amp; Railings</t>
        </is>
      </c>
      <c r="C39" s="52">
        <f>'Scope &amp; Phases'!D39</f>
        <v/>
      </c>
      <c r="D39" s="9" t="n"/>
      <c r="E39" s="22" t="n"/>
      <c r="F39" s="53" t="n"/>
      <c r="G39" s="9" t="n"/>
      <c r="H39" s="22" t="n"/>
      <c r="I39" s="53" t="n"/>
      <c r="J39" s="9" t="n"/>
      <c r="K39" s="22" t="n"/>
      <c r="L39" s="53" t="n"/>
      <c r="M39" s="53" t="n"/>
      <c r="N39" s="54">
        <f>IFERROR(IF($C39&lt;&gt;"x",0,IF($M39=1,E39,IF($M39=2,H39,IF($M39=3,K39,IF(COUNT(E39,H39,K39)=0,0,MIN(IF(E39&gt;0,E39,1E+99),IF(H39&gt;0,H39,1E+99),IF(K39&gt;0,K39,1E+99))))))),0)</f>
        <v/>
      </c>
      <c r="O39" s="55">
        <f>IFERROR(IF($C39&lt;&gt;"x",0,IF($M39=1,F39,IF($M39=2,I39,IF($M39=3,L39,IF(E39=IF(COUNT(E39,H39,K39)=0,0,MIN(IF(E39&gt;0,E39,1E+99),IF(H39&gt;0,H39,1E+99),IF(K39&gt;0,K39,1E+99))),F39,IF(H39=IF(COUNT(E39,H39,K39)=0,0,MIN(IF(E39&gt;0,E39,1E+99),IF(H39&gt;0,H39,1E+99),IF(K39&gt;0,K39,1E+99))),I39,L39)))))),0)</f>
        <v/>
      </c>
      <c r="P39" s="90">
        <f>IFERROR(IF($C39&lt;&gt;"x",0,IF($M39=1,D39,IF($M39=2,G39,IF($M39=3,J39,IF(E39=IF(COUNT(E39,H39,K39)=0,0,MIN(IF(E39&gt;0,E39,1E+99),IF(H39&gt;0,H39,1E+99),IF(K39&gt;0,K39,1E+99))),D39,IF(H39=IF(COUNT(E39,H39,K39)=0,0,MIN(IF(E39&gt;0,E39,1E+99),IF(H39&gt;0,H39,1E+99),IF(K39&gt;0,K39,1E+99))),G39,J39)))))),0)</f>
        <v/>
      </c>
    </row>
    <row r="40" ht="18" customHeight="1">
      <c r="A40" s="38" t="inlineStr">
        <is>
          <t>3</t>
        </is>
      </c>
      <c r="B40" s="60" t="inlineStr">
        <is>
          <t>Interior Paint</t>
        </is>
      </c>
      <c r="C40" s="52">
        <f>'Scope &amp; Phases'!D40</f>
        <v/>
      </c>
      <c r="D40" s="9" t="inlineStr">
        <is>
          <t>Brushworks AZ</t>
        </is>
      </c>
      <c r="E40" s="22" t="n">
        <v>4050</v>
      </c>
      <c r="F40" s="53" t="n">
        <v>5</v>
      </c>
      <c r="G40" s="9" t="n"/>
      <c r="H40" s="22" t="n"/>
      <c r="I40" s="53" t="n"/>
      <c r="J40" s="9" t="n"/>
      <c r="K40" s="22" t="n"/>
      <c r="L40" s="53" t="n"/>
      <c r="M40" s="53" t="n"/>
      <c r="N40" s="54">
        <f>IFERROR(IF($C40&lt;&gt;"x",0,IF($M40=1,E40,IF($M40=2,H40,IF($M40=3,K40,IF(COUNT(E40,H40,K40)=0,0,MIN(IF(E40&gt;0,E40,1E+99),IF(H40&gt;0,H40,1E+99),IF(K40&gt;0,K40,1E+99))))))),0)</f>
        <v/>
      </c>
      <c r="O40" s="55">
        <f>IFERROR(IF($C40&lt;&gt;"x",0,IF($M40=1,F40,IF($M40=2,I40,IF($M40=3,L40,IF(E40=IF(COUNT(E40,H40,K40)=0,0,MIN(IF(E40&gt;0,E40,1E+99),IF(H40&gt;0,H40,1E+99),IF(K40&gt;0,K40,1E+99))),F40,IF(H40=IF(COUNT(E40,H40,K40)=0,0,MIN(IF(E40&gt;0,E40,1E+99),IF(H40&gt;0,H40,1E+99),IF(K40&gt;0,K40,1E+99))),I40,L40)))))),0)</f>
        <v/>
      </c>
      <c r="P40" s="90">
        <f>IFERROR(IF($C40&lt;&gt;"x",0,IF($M40=1,D40,IF($M40=2,G40,IF($M40=3,J40,IF(E40=IF(COUNT(E40,H40,K40)=0,0,MIN(IF(E40&gt;0,E40,1E+99),IF(H40&gt;0,H40,1E+99),IF(K40&gt;0,K40,1E+99))),D40,IF(H40=IF(COUNT(E40,H40,K40)=0,0,MIN(IF(E40&gt;0,E40,1E+99),IF(H40&gt;0,H40,1E+99),IF(K40&gt;0,K40,1E+99))),G40,J40)))))),0)</f>
        <v/>
      </c>
    </row>
    <row r="41" ht="18" customHeight="1">
      <c r="A41" s="33" t="inlineStr">
        <is>
          <t>4</t>
        </is>
      </c>
      <c r="B41" s="34" t="inlineStr">
        <is>
          <t>Kitchen Cabinets</t>
        </is>
      </c>
      <c r="C41" s="45">
        <f>'Scope &amp; Phases'!D41</f>
        <v/>
      </c>
      <c r="D41" s="46" t="inlineStr">
        <is>
          <t>Copper State Cabinets</t>
        </is>
      </c>
      <c r="E41" s="47" t="n">
        <v>6075</v>
      </c>
      <c r="F41" s="48" t="n">
        <v>4</v>
      </c>
      <c r="G41" s="46" t="inlineStr">
        <is>
          <t>Mesa Cabinet Works</t>
        </is>
      </c>
      <c r="H41" s="47" t="n">
        <v>6925</v>
      </c>
      <c r="I41" s="48" t="n">
        <v>5</v>
      </c>
      <c r="J41" s="46" t="inlineStr">
        <is>
          <t>Sundance Millwork</t>
        </is>
      </c>
      <c r="K41" s="47" t="n">
        <v>6450</v>
      </c>
      <c r="L41" s="48" t="n">
        <v>3</v>
      </c>
      <c r="M41" s="48" t="n"/>
      <c r="N41" s="49">
        <f>IFERROR(IF($C41&lt;&gt;"x",0,IF($M41=1,E41,IF($M41=2,H41,IF($M41=3,K41,IF(COUNT(E41,H41,K41)=0,0,MIN(IF(E41&gt;0,E41,1E+99),IF(H41&gt;0,H41,1E+99),IF(K41&gt;0,K41,1E+99))))))),0)</f>
        <v/>
      </c>
      <c r="O41" s="50">
        <f>IFERROR(IF($C41&lt;&gt;"x",0,IF($M41=1,F41,IF($M41=2,I41,IF($M41=3,L41,IF(E41=IF(COUNT(E41,H41,K41)=0,0,MIN(IF(E41&gt;0,E41,1E+99),IF(H41&gt;0,H41,1E+99),IF(K41&gt;0,K41,1E+99))),F41,IF(H41=IF(COUNT(E41,H41,K41)=0,0,MIN(IF(E41&gt;0,E41,1E+99),IF(H41&gt;0,H41,1E+99),IF(K41&gt;0,K41,1E+99))),I41,L41)))))),0)</f>
        <v/>
      </c>
      <c r="P41" s="51">
        <f>IFERROR(IF($C41&lt;&gt;"x",0,IF($M41=1,D41,IF($M41=2,G41,IF($M41=3,J41,IF(E41=IF(COUNT(E41,H41,K41)=0,0,MIN(IF(E41&gt;0,E41,1E+99),IF(H41&gt;0,H41,1E+99),IF(K41&gt;0,K41,1E+99))),D41,IF(H41=IF(COUNT(E41,H41,K41)=0,0,MIN(IF(E41&gt;0,E41,1E+99),IF(H41&gt;0,H41,1E+99),IF(K41&gt;0,K41,1E+99))),G41,J41)))))),0)</f>
        <v/>
      </c>
    </row>
    <row r="42" ht="18" customHeight="1">
      <c r="A42" s="38" t="inlineStr">
        <is>
          <t>4</t>
        </is>
      </c>
      <c r="B42" s="60" t="inlineStr">
        <is>
          <t>Bath Vanities</t>
        </is>
      </c>
      <c r="C42" s="52">
        <f>'Scope &amp; Phases'!D42</f>
        <v/>
      </c>
      <c r="D42" s="9" t="inlineStr"/>
      <c r="E42" s="22" t="n">
        <v>1625</v>
      </c>
      <c r="F42" s="53" t="n">
        <v>2</v>
      </c>
      <c r="G42" s="9" t="n"/>
      <c r="H42" s="22" t="n"/>
      <c r="I42" s="53" t="n"/>
      <c r="J42" s="9" t="n"/>
      <c r="K42" s="22" t="n"/>
      <c r="L42" s="53" t="n"/>
      <c r="M42" s="53" t="n"/>
      <c r="N42" s="54">
        <f>IFERROR(IF($C42&lt;&gt;"x",0,IF($M42=1,E42,IF($M42=2,H42,IF($M42=3,K42,IF(COUNT(E42,H42,K42)=0,0,MIN(IF(E42&gt;0,E42,1E+99),IF(H42&gt;0,H42,1E+99),IF(K42&gt;0,K42,1E+99))))))),0)</f>
        <v/>
      </c>
      <c r="O42" s="55">
        <f>IFERROR(IF($C42&lt;&gt;"x",0,IF($M42=1,F42,IF($M42=2,I42,IF($M42=3,L42,IF(E42=IF(COUNT(E42,H42,K42)=0,0,MIN(IF(E42&gt;0,E42,1E+99),IF(H42&gt;0,H42,1E+99),IF(K42&gt;0,K42,1E+99))),F42,IF(H42=IF(COUNT(E42,H42,K42)=0,0,MIN(IF(E42&gt;0,E42,1E+99),IF(H42&gt;0,H42,1E+99),IF(K42&gt;0,K42,1E+99))),I42,L42)))))),0)</f>
        <v/>
      </c>
      <c r="P42" s="90">
        <f>IFERROR(IF($C42&lt;&gt;"x",0,IF($M42=1,D42,IF($M42=2,G42,IF($M42=3,J42,IF(E42=IF(COUNT(E42,H42,K42)=0,0,MIN(IF(E42&gt;0,E42,1E+99),IF(H42&gt;0,H42,1E+99),IF(K42&gt;0,K42,1E+99))),D42,IF(H42=IF(COUNT(E42,H42,K42)=0,0,MIN(IF(E42&gt;0,E42,1E+99),IF(H42&gt;0,H42,1E+99),IF(K42&gt;0,K42,1E+99))),G42,J42)))))),0)</f>
        <v/>
      </c>
    </row>
    <row r="43" ht="18" customHeight="1">
      <c r="A43" s="38" t="inlineStr">
        <is>
          <t>4</t>
        </is>
      </c>
      <c r="B43" s="60" t="inlineStr">
        <is>
          <t>Laundry &amp; Utility Cabinets</t>
        </is>
      </c>
      <c r="C43" s="52">
        <f>'Scope &amp; Phases'!D43</f>
        <v/>
      </c>
      <c r="D43" s="9" t="inlineStr"/>
      <c r="E43" s="22" t="n">
        <v>675</v>
      </c>
      <c r="F43" s="53" t="n">
        <v>1</v>
      </c>
      <c r="G43" s="9" t="n"/>
      <c r="H43" s="22" t="n"/>
      <c r="I43" s="53" t="n"/>
      <c r="J43" s="9" t="n"/>
      <c r="K43" s="22" t="n"/>
      <c r="L43" s="53" t="n"/>
      <c r="M43" s="53" t="n"/>
      <c r="N43" s="54">
        <f>IFERROR(IF($C43&lt;&gt;"x",0,IF($M43=1,E43,IF($M43=2,H43,IF($M43=3,K43,IF(COUNT(E43,H43,K43)=0,0,MIN(IF(E43&gt;0,E43,1E+99),IF(H43&gt;0,H43,1E+99),IF(K43&gt;0,K43,1E+99))))))),0)</f>
        <v/>
      </c>
      <c r="O43" s="55">
        <f>IFERROR(IF($C43&lt;&gt;"x",0,IF($M43=1,F43,IF($M43=2,I43,IF($M43=3,L43,IF(E43=IF(COUNT(E43,H43,K43)=0,0,MIN(IF(E43&gt;0,E43,1E+99),IF(H43&gt;0,H43,1E+99),IF(K43&gt;0,K43,1E+99))),F43,IF(H43=IF(COUNT(E43,H43,K43)=0,0,MIN(IF(E43&gt;0,E43,1E+99),IF(H43&gt;0,H43,1E+99),IF(K43&gt;0,K43,1E+99))),I43,L43)))))),0)</f>
        <v/>
      </c>
      <c r="P43" s="90">
        <f>IFERROR(IF($C43&lt;&gt;"x",0,IF($M43=1,D43,IF($M43=2,G43,IF($M43=3,J43,IF(E43=IF(COUNT(E43,H43,K43)=0,0,MIN(IF(E43&gt;0,E43,1E+99),IF(H43&gt;0,H43,1E+99),IF(K43&gt;0,K43,1E+99))),D43,IF(H43=IF(COUNT(E43,H43,K43)=0,0,MIN(IF(E43&gt;0,E43,1E+99),IF(H43&gt;0,H43,1E+99),IF(K43&gt;0,K43,1E+99))),G43,J43)))))),0)</f>
        <v/>
      </c>
    </row>
    <row r="44" ht="18" customHeight="1">
      <c r="A44" s="38" t="inlineStr">
        <is>
          <t>4</t>
        </is>
      </c>
      <c r="B44" s="60" t="inlineStr">
        <is>
          <t>Closet Systems</t>
        </is>
      </c>
      <c r="C44" s="52">
        <f>'Scope &amp; Phases'!D44</f>
        <v/>
      </c>
      <c r="D44" s="9" t="n"/>
      <c r="E44" s="22" t="n"/>
      <c r="F44" s="53" t="n"/>
      <c r="G44" s="9" t="n"/>
      <c r="H44" s="22" t="n"/>
      <c r="I44" s="53" t="n"/>
      <c r="J44" s="9" t="n"/>
      <c r="K44" s="22" t="n"/>
      <c r="L44" s="53" t="n"/>
      <c r="M44" s="53" t="n"/>
      <c r="N44" s="54">
        <f>IFERROR(IF($C44&lt;&gt;"x",0,IF($M44=1,E44,IF($M44=2,H44,IF($M44=3,K44,IF(COUNT(E44,H44,K44)=0,0,MIN(IF(E44&gt;0,E44,1E+99),IF(H44&gt;0,H44,1E+99),IF(K44&gt;0,K44,1E+99))))))),0)</f>
        <v/>
      </c>
      <c r="O44" s="55">
        <f>IFERROR(IF($C44&lt;&gt;"x",0,IF($M44=1,F44,IF($M44=2,I44,IF($M44=3,L44,IF(E44=IF(COUNT(E44,H44,K44)=0,0,MIN(IF(E44&gt;0,E44,1E+99),IF(H44&gt;0,H44,1E+99),IF(K44&gt;0,K44,1E+99))),F44,IF(H44=IF(COUNT(E44,H44,K44)=0,0,MIN(IF(E44&gt;0,E44,1E+99),IF(H44&gt;0,H44,1E+99),IF(K44&gt;0,K44,1E+99))),I44,L44)))))),0)</f>
        <v/>
      </c>
      <c r="P44" s="90">
        <f>IFERROR(IF($C44&lt;&gt;"x",0,IF($M44=1,D44,IF($M44=2,G44,IF($M44=3,J44,IF(E44=IF(COUNT(E44,H44,K44)=0,0,MIN(IF(E44&gt;0,E44,1E+99),IF(H44&gt;0,H44,1E+99),IF(K44&gt;0,K44,1E+99))),D44,IF(H44=IF(COUNT(E44,H44,K44)=0,0,MIN(IF(E44&gt;0,E44,1E+99),IF(H44&gt;0,H44,1E+99),IF(K44&gt;0,K44,1E+99))),G44,J44)))))),0)</f>
        <v/>
      </c>
    </row>
    <row r="45" ht="18" customHeight="1">
      <c r="A45" s="38" t="inlineStr">
        <is>
          <t>4</t>
        </is>
      </c>
      <c r="B45" s="60" t="inlineStr">
        <is>
          <t>Countertops</t>
        </is>
      </c>
      <c r="C45" s="52">
        <f>'Scope &amp; Phases'!D45</f>
        <v/>
      </c>
      <c r="D45" s="9" t="inlineStr">
        <is>
          <t>Stone Age Surfaces</t>
        </is>
      </c>
      <c r="E45" s="22" t="n">
        <v>3700</v>
      </c>
      <c r="F45" s="53" t="n">
        <v>3</v>
      </c>
      <c r="G45" s="9" t="n"/>
      <c r="H45" s="22" t="n"/>
      <c r="I45" s="53" t="n"/>
      <c r="J45" s="9" t="n"/>
      <c r="K45" s="22" t="n"/>
      <c r="L45" s="53" t="n"/>
      <c r="M45" s="53" t="n"/>
      <c r="N45" s="54">
        <f>IFERROR(IF($C45&lt;&gt;"x",0,IF($M45=1,E45,IF($M45=2,H45,IF($M45=3,K45,IF(COUNT(E45,H45,K45)=0,0,MIN(IF(E45&gt;0,E45,1E+99),IF(H45&gt;0,H45,1E+99),IF(K45&gt;0,K45,1E+99))))))),0)</f>
        <v/>
      </c>
      <c r="O45" s="55">
        <f>IFERROR(IF($C45&lt;&gt;"x",0,IF($M45=1,F45,IF($M45=2,I45,IF($M45=3,L45,IF(E45=IF(COUNT(E45,H45,K45)=0,0,MIN(IF(E45&gt;0,E45,1E+99),IF(H45&gt;0,H45,1E+99),IF(K45&gt;0,K45,1E+99))),F45,IF(H45=IF(COUNT(E45,H45,K45)=0,0,MIN(IF(E45&gt;0,E45,1E+99),IF(H45&gt;0,H45,1E+99),IF(K45&gt;0,K45,1E+99))),I45,L45)))))),0)</f>
        <v/>
      </c>
      <c r="P45" s="90">
        <f>IFERROR(IF($C45&lt;&gt;"x",0,IF($M45=1,D45,IF($M45=2,G45,IF($M45=3,J45,IF(E45=IF(COUNT(E45,H45,K45)=0,0,MIN(IF(E45&gt;0,E45,1E+99),IF(H45&gt;0,H45,1E+99),IF(K45&gt;0,K45,1E+99))),D45,IF(H45=IF(COUNT(E45,H45,K45)=0,0,MIN(IF(E45&gt;0,E45,1E+99),IF(H45&gt;0,H45,1E+99),IF(K45&gt;0,K45,1E+99))),G45,J45)))))),0)</f>
        <v/>
      </c>
    </row>
    <row r="46" ht="18" customHeight="1">
      <c r="A46" s="38" t="inlineStr">
        <is>
          <t>4</t>
        </is>
      </c>
      <c r="B46" s="60" t="inlineStr">
        <is>
          <t>Cabinet Hardware</t>
        </is>
      </c>
      <c r="C46" s="52">
        <f>'Scope &amp; Phases'!D46</f>
        <v/>
      </c>
      <c r="D46" s="9" t="inlineStr"/>
      <c r="E46" s="22" t="n">
        <v>550</v>
      </c>
      <c r="F46" s="53" t="n">
        <v>1</v>
      </c>
      <c r="G46" s="9" t="n"/>
      <c r="H46" s="22" t="n"/>
      <c r="I46" s="53" t="n"/>
      <c r="J46" s="9" t="n"/>
      <c r="K46" s="22" t="n"/>
      <c r="L46" s="53" t="n"/>
      <c r="M46" s="53" t="n"/>
      <c r="N46" s="54">
        <f>IFERROR(IF($C46&lt;&gt;"x",0,IF($M46=1,E46,IF($M46=2,H46,IF($M46=3,K46,IF(COUNT(E46,H46,K46)=0,0,MIN(IF(E46&gt;0,E46,1E+99),IF(H46&gt;0,H46,1E+99),IF(K46&gt;0,K46,1E+99))))))),0)</f>
        <v/>
      </c>
      <c r="O46" s="55">
        <f>IFERROR(IF($C46&lt;&gt;"x",0,IF($M46=1,F46,IF($M46=2,I46,IF($M46=3,L46,IF(E46=IF(COUNT(E46,H46,K46)=0,0,MIN(IF(E46&gt;0,E46,1E+99),IF(H46&gt;0,H46,1E+99),IF(K46&gt;0,K46,1E+99))),F46,IF(H46=IF(COUNT(E46,H46,K46)=0,0,MIN(IF(E46&gt;0,E46,1E+99),IF(H46&gt;0,H46,1E+99),IF(K46&gt;0,K46,1E+99))),I46,L46)))))),0)</f>
        <v/>
      </c>
      <c r="P46" s="90">
        <f>IFERROR(IF($C46&lt;&gt;"x",0,IF($M46=1,D46,IF($M46=2,G46,IF($M46=3,J46,IF(E46=IF(COUNT(E46,H46,K46)=0,0,MIN(IF(E46&gt;0,E46,1E+99),IF(H46&gt;0,H46,1E+99),IF(K46&gt;0,K46,1E+99))),D46,IF(H46=IF(COUNT(E46,H46,K46)=0,0,MIN(IF(E46&gt;0,E46,1E+99),IF(H46&gt;0,H46,1E+99),IF(K46&gt;0,K46,1E+99))),G46,J46)))))),0)</f>
        <v/>
      </c>
    </row>
    <row r="47" ht="18" customHeight="1">
      <c r="A47" s="33" t="inlineStr">
        <is>
          <t>5</t>
        </is>
      </c>
      <c r="B47" s="34" t="inlineStr">
        <is>
          <t>Floor Prep &amp; Leveling</t>
        </is>
      </c>
      <c r="C47" s="45">
        <f>'Scope &amp; Phases'!D47</f>
        <v/>
      </c>
      <c r="D47" s="46" t="inlineStr"/>
      <c r="E47" s="47" t="n">
        <v>925</v>
      </c>
      <c r="F47" s="48" t="n">
        <v>2</v>
      </c>
      <c r="G47" s="46" t="n"/>
      <c r="H47" s="47" t="n"/>
      <c r="I47" s="48" t="n"/>
      <c r="J47" s="46" t="n"/>
      <c r="K47" s="47" t="n"/>
      <c r="L47" s="48" t="n"/>
      <c r="M47" s="48" t="n"/>
      <c r="N47" s="49">
        <f>IFERROR(IF($C47&lt;&gt;"x",0,IF($M47=1,E47,IF($M47=2,H47,IF($M47=3,K47,IF(COUNT(E47,H47,K47)=0,0,MIN(IF(E47&gt;0,E47,1E+99),IF(H47&gt;0,H47,1E+99),IF(K47&gt;0,K47,1E+99))))))),0)</f>
        <v/>
      </c>
      <c r="O47" s="50">
        <f>IFERROR(IF($C47&lt;&gt;"x",0,IF($M47=1,F47,IF($M47=2,I47,IF($M47=3,L47,IF(E47=IF(COUNT(E47,H47,K47)=0,0,MIN(IF(E47&gt;0,E47,1E+99),IF(H47&gt;0,H47,1E+99),IF(K47&gt;0,K47,1E+99))),F47,IF(H47=IF(COUNT(E47,H47,K47)=0,0,MIN(IF(E47&gt;0,E47,1E+99),IF(H47&gt;0,H47,1E+99),IF(K47&gt;0,K47,1E+99))),I47,L47)))))),0)</f>
        <v/>
      </c>
      <c r="P47" s="51">
        <f>IFERROR(IF($C47&lt;&gt;"x",0,IF($M47=1,D47,IF($M47=2,G47,IF($M47=3,J47,IF(E47=IF(COUNT(E47,H47,K47)=0,0,MIN(IF(E47&gt;0,E47,1E+99),IF(H47&gt;0,H47,1E+99),IF(K47&gt;0,K47,1E+99))),D47,IF(H47=IF(COUNT(E47,H47,K47)=0,0,MIN(IF(E47&gt;0,E47,1E+99),IF(H47&gt;0,H47,1E+99),IF(K47&gt;0,K47,1E+99))),G47,J47)))))),0)</f>
        <v/>
      </c>
    </row>
    <row r="48" ht="18" customHeight="1">
      <c r="A48" s="38" t="inlineStr">
        <is>
          <t>5</t>
        </is>
      </c>
      <c r="B48" s="60" t="inlineStr">
        <is>
          <t>Floor Tile</t>
        </is>
      </c>
      <c r="C48" s="52">
        <f>'Scope &amp; Phases'!D48</f>
        <v/>
      </c>
      <c r="D48" s="9" t="inlineStr">
        <is>
          <t>Tile Team LLC</t>
        </is>
      </c>
      <c r="E48" s="22" t="n">
        <v>3000</v>
      </c>
      <c r="F48" s="53" t="n">
        <v>4</v>
      </c>
      <c r="G48" s="9" t="n"/>
      <c r="H48" s="22" t="n"/>
      <c r="I48" s="53" t="n"/>
      <c r="J48" s="9" t="n"/>
      <c r="K48" s="22" t="n"/>
      <c r="L48" s="53" t="n"/>
      <c r="M48" s="53" t="n"/>
      <c r="N48" s="54">
        <f>IFERROR(IF($C48&lt;&gt;"x",0,IF($M48=1,E48,IF($M48=2,H48,IF($M48=3,K48,IF(COUNT(E48,H48,K48)=0,0,MIN(IF(E48&gt;0,E48,1E+99),IF(H48&gt;0,H48,1E+99),IF(K48&gt;0,K48,1E+99))))))),0)</f>
        <v/>
      </c>
      <c r="O48" s="55">
        <f>IFERROR(IF($C48&lt;&gt;"x",0,IF($M48=1,F48,IF($M48=2,I48,IF($M48=3,L48,IF(E48=IF(COUNT(E48,H48,K48)=0,0,MIN(IF(E48&gt;0,E48,1E+99),IF(H48&gt;0,H48,1E+99),IF(K48&gt;0,K48,1E+99))),F48,IF(H48=IF(COUNT(E48,H48,K48)=0,0,MIN(IF(E48&gt;0,E48,1E+99),IF(H48&gt;0,H48,1E+99),IF(K48&gt;0,K48,1E+99))),I48,L48)))))),0)</f>
        <v/>
      </c>
      <c r="P48" s="90">
        <f>IFERROR(IF($C48&lt;&gt;"x",0,IF($M48=1,D48,IF($M48=2,G48,IF($M48=3,J48,IF(E48=IF(COUNT(E48,H48,K48)=0,0,MIN(IF(E48&gt;0,E48,1E+99),IF(H48&gt;0,H48,1E+99),IF(K48&gt;0,K48,1E+99))),D48,IF(H48=IF(COUNT(E48,H48,K48)=0,0,MIN(IF(E48&gt;0,E48,1E+99),IF(H48&gt;0,H48,1E+99),IF(K48&gt;0,K48,1E+99))),G48,J48)))))),0)</f>
        <v/>
      </c>
    </row>
    <row r="49" ht="18" customHeight="1">
      <c r="A49" s="38" t="inlineStr">
        <is>
          <t>5</t>
        </is>
      </c>
      <c r="B49" s="60" t="inlineStr">
        <is>
          <t>Shower &amp; Tub Surround Tile</t>
        </is>
      </c>
      <c r="C49" s="52">
        <f>'Scope &amp; Phases'!D49</f>
        <v/>
      </c>
      <c r="D49" s="9" t="inlineStr"/>
      <c r="E49" s="22" t="n">
        <v>2475</v>
      </c>
      <c r="F49" s="53" t="n">
        <v>4</v>
      </c>
      <c r="G49" s="9" t="n"/>
      <c r="H49" s="22" t="n"/>
      <c r="I49" s="53" t="n"/>
      <c r="J49" s="9" t="n"/>
      <c r="K49" s="22" t="n"/>
      <c r="L49" s="53" t="n"/>
      <c r="M49" s="53" t="n"/>
      <c r="N49" s="54">
        <f>IFERROR(IF($C49&lt;&gt;"x",0,IF($M49=1,E49,IF($M49=2,H49,IF($M49=3,K49,IF(COUNT(E49,H49,K49)=0,0,MIN(IF(E49&gt;0,E49,1E+99),IF(H49&gt;0,H49,1E+99),IF(K49&gt;0,K49,1E+99))))))),0)</f>
        <v/>
      </c>
      <c r="O49" s="55">
        <f>IFERROR(IF($C49&lt;&gt;"x",0,IF($M49=1,F49,IF($M49=2,I49,IF($M49=3,L49,IF(E49=IF(COUNT(E49,H49,K49)=0,0,MIN(IF(E49&gt;0,E49,1E+99),IF(H49&gt;0,H49,1E+99),IF(K49&gt;0,K49,1E+99))),F49,IF(H49=IF(COUNT(E49,H49,K49)=0,0,MIN(IF(E49&gt;0,E49,1E+99),IF(H49&gt;0,H49,1E+99),IF(K49&gt;0,K49,1E+99))),I49,L49)))))),0)</f>
        <v/>
      </c>
      <c r="P49" s="90">
        <f>IFERROR(IF($C49&lt;&gt;"x",0,IF($M49=1,D49,IF($M49=2,G49,IF($M49=3,J49,IF(E49=IF(COUNT(E49,H49,K49)=0,0,MIN(IF(E49&gt;0,E49,1E+99),IF(H49&gt;0,H49,1E+99),IF(K49&gt;0,K49,1E+99))),D49,IF(H49=IF(COUNT(E49,H49,K49)=0,0,MIN(IF(E49&gt;0,E49,1E+99),IF(H49&gt;0,H49,1E+99),IF(K49&gt;0,K49,1E+99))),G49,J49)))))),0)</f>
        <v/>
      </c>
    </row>
    <row r="50" ht="18" customHeight="1">
      <c r="A50" s="38" t="inlineStr">
        <is>
          <t>5</t>
        </is>
      </c>
      <c r="B50" s="60" t="inlineStr">
        <is>
          <t>Backsplash Tile</t>
        </is>
      </c>
      <c r="C50" s="52">
        <f>'Scope &amp; Phases'!D50</f>
        <v/>
      </c>
      <c r="D50" s="9" t="inlineStr"/>
      <c r="E50" s="22" t="n">
        <v>1000</v>
      </c>
      <c r="F50" s="53" t="n">
        <v>2</v>
      </c>
      <c r="G50" s="9" t="n"/>
      <c r="H50" s="22" t="n"/>
      <c r="I50" s="53" t="n"/>
      <c r="J50" s="9" t="n"/>
      <c r="K50" s="22" t="n"/>
      <c r="L50" s="53" t="n"/>
      <c r="M50" s="53" t="n"/>
      <c r="N50" s="54">
        <f>IFERROR(IF($C50&lt;&gt;"x",0,IF($M50=1,E50,IF($M50=2,H50,IF($M50=3,K50,IF(COUNT(E50,H50,K50)=0,0,MIN(IF(E50&gt;0,E50,1E+99),IF(H50&gt;0,H50,1E+99),IF(K50&gt;0,K50,1E+99))))))),0)</f>
        <v/>
      </c>
      <c r="O50" s="55">
        <f>IFERROR(IF($C50&lt;&gt;"x",0,IF($M50=1,F50,IF($M50=2,I50,IF($M50=3,L50,IF(E50=IF(COUNT(E50,H50,K50)=0,0,MIN(IF(E50&gt;0,E50,1E+99),IF(H50&gt;0,H50,1E+99),IF(K50&gt;0,K50,1E+99))),F50,IF(H50=IF(COUNT(E50,H50,K50)=0,0,MIN(IF(E50&gt;0,E50,1E+99),IF(H50&gt;0,H50,1E+99),IF(K50&gt;0,K50,1E+99))),I50,L50)))))),0)</f>
        <v/>
      </c>
      <c r="P50" s="90">
        <f>IFERROR(IF($C50&lt;&gt;"x",0,IF($M50=1,D50,IF($M50=2,G50,IF($M50=3,J50,IF(E50=IF(COUNT(E50,H50,K50)=0,0,MIN(IF(E50&gt;0,E50,1E+99),IF(H50&gt;0,H50,1E+99),IF(K50&gt;0,K50,1E+99))),D50,IF(H50=IF(COUNT(E50,H50,K50)=0,0,MIN(IF(E50&gt;0,E50,1E+99),IF(H50&gt;0,H50,1E+99),IF(K50&gt;0,K50,1E+99))),G50,J50)))))),0)</f>
        <v/>
      </c>
    </row>
    <row r="51" ht="18" customHeight="1">
      <c r="A51" s="38" t="inlineStr">
        <is>
          <t>5</t>
        </is>
      </c>
      <c r="B51" s="60" t="inlineStr">
        <is>
          <t>LVP / Hardwood / Laminate</t>
        </is>
      </c>
      <c r="C51" s="52">
        <f>'Scope &amp; Phases'!D51</f>
        <v/>
      </c>
      <c r="D51" s="9" t="inlineStr">
        <is>
          <t>Desert Floors</t>
        </is>
      </c>
      <c r="E51" s="22" t="n">
        <v>5200</v>
      </c>
      <c r="F51" s="53" t="n">
        <v>4</v>
      </c>
      <c r="G51" s="9" t="inlineStr">
        <is>
          <t>Legacy Flooring</t>
        </is>
      </c>
      <c r="H51" s="22" t="n">
        <v>5925</v>
      </c>
      <c r="I51" s="53" t="n">
        <v>5</v>
      </c>
      <c r="J51" s="9" t="inlineStr">
        <is>
          <t>Saguaro Surfaces</t>
        </is>
      </c>
      <c r="K51" s="22" t="n">
        <v>5500</v>
      </c>
      <c r="L51" s="53" t="n">
        <v>3</v>
      </c>
      <c r="M51" s="53" t="n"/>
      <c r="N51" s="54">
        <f>IFERROR(IF($C51&lt;&gt;"x",0,IF($M51=1,E51,IF($M51=2,H51,IF($M51=3,K51,IF(COUNT(E51,H51,K51)=0,0,MIN(IF(E51&gt;0,E51,1E+99),IF(H51&gt;0,H51,1E+99),IF(K51&gt;0,K51,1E+99))))))),0)</f>
        <v/>
      </c>
      <c r="O51" s="55">
        <f>IFERROR(IF($C51&lt;&gt;"x",0,IF($M51=1,F51,IF($M51=2,I51,IF($M51=3,L51,IF(E51=IF(COUNT(E51,H51,K51)=0,0,MIN(IF(E51&gt;0,E51,1E+99),IF(H51&gt;0,H51,1E+99),IF(K51&gt;0,K51,1E+99))),F51,IF(H51=IF(COUNT(E51,H51,K51)=0,0,MIN(IF(E51&gt;0,E51,1E+99),IF(H51&gt;0,H51,1E+99),IF(K51&gt;0,K51,1E+99))),I51,L51)))))),0)</f>
        <v/>
      </c>
      <c r="P51" s="90">
        <f>IFERROR(IF($C51&lt;&gt;"x",0,IF($M51=1,D51,IF($M51=2,G51,IF($M51=3,J51,IF(E51=IF(COUNT(E51,H51,K51)=0,0,MIN(IF(E51&gt;0,E51,1E+99),IF(H51&gt;0,H51,1E+99),IF(K51&gt;0,K51,1E+99))),D51,IF(H51=IF(COUNT(E51,H51,K51)=0,0,MIN(IF(E51&gt;0,E51,1E+99),IF(H51&gt;0,H51,1E+99),IF(K51&gt;0,K51,1E+99))),G51,J51)))))),0)</f>
        <v/>
      </c>
    </row>
    <row r="52" ht="18" customHeight="1">
      <c r="A52" s="38" t="inlineStr">
        <is>
          <t>5</t>
        </is>
      </c>
      <c r="B52" s="60" t="inlineStr">
        <is>
          <t>Grout, Sealer &amp; Trim Pieces</t>
        </is>
      </c>
      <c r="C52" s="52">
        <f>'Scope &amp; Phases'!D52</f>
        <v/>
      </c>
      <c r="D52" s="9" t="inlineStr"/>
      <c r="E52" s="22" t="n">
        <v>450</v>
      </c>
      <c r="F52" s="53" t="n">
        <v>1</v>
      </c>
      <c r="G52" s="9" t="n"/>
      <c r="H52" s="22" t="n"/>
      <c r="I52" s="53" t="n"/>
      <c r="J52" s="9" t="n"/>
      <c r="K52" s="22" t="n"/>
      <c r="L52" s="53" t="n"/>
      <c r="M52" s="53" t="n"/>
      <c r="N52" s="54">
        <f>IFERROR(IF($C52&lt;&gt;"x",0,IF($M52=1,E52,IF($M52=2,H52,IF($M52=3,K52,IF(COUNT(E52,H52,K52)=0,0,MIN(IF(E52&gt;0,E52,1E+99),IF(H52&gt;0,H52,1E+99),IF(K52&gt;0,K52,1E+99))))))),0)</f>
        <v/>
      </c>
      <c r="O52" s="55">
        <f>IFERROR(IF($C52&lt;&gt;"x",0,IF($M52=1,F52,IF($M52=2,I52,IF($M52=3,L52,IF(E52=IF(COUNT(E52,H52,K52)=0,0,MIN(IF(E52&gt;0,E52,1E+99),IF(H52&gt;0,H52,1E+99),IF(K52&gt;0,K52,1E+99))),F52,IF(H52=IF(COUNT(E52,H52,K52)=0,0,MIN(IF(E52&gt;0,E52,1E+99),IF(H52&gt;0,H52,1E+99),IF(K52&gt;0,K52,1E+99))),I52,L52)))))),0)</f>
        <v/>
      </c>
      <c r="P52" s="90">
        <f>IFERROR(IF($C52&lt;&gt;"x",0,IF($M52=1,D52,IF($M52=2,G52,IF($M52=3,J52,IF(E52=IF(COUNT(E52,H52,K52)=0,0,MIN(IF(E52&gt;0,E52,1E+99),IF(H52&gt;0,H52,1E+99),IF(K52&gt;0,K52,1E+99))),D52,IF(H52=IF(COUNT(E52,H52,K52)=0,0,MIN(IF(E52&gt;0,E52,1E+99),IF(H52&gt;0,H52,1E+99),IF(K52&gt;0,K52,1E+99))),G52,J52)))))),0)</f>
        <v/>
      </c>
    </row>
    <row r="53" ht="18" customHeight="1">
      <c r="A53" s="33" t="inlineStr">
        <is>
          <t>6</t>
        </is>
      </c>
      <c r="B53" s="34" t="inlineStr">
        <is>
          <t>Stucco / Siding</t>
        </is>
      </c>
      <c r="C53" s="45">
        <f>'Scope &amp; Phases'!D53</f>
        <v/>
      </c>
      <c r="D53" s="46" t="inlineStr">
        <is>
          <t>Adobe Stucco Co</t>
        </is>
      </c>
      <c r="E53" s="47" t="n">
        <v>2900</v>
      </c>
      <c r="F53" s="48" t="n">
        <v>5</v>
      </c>
      <c r="G53" s="46" t="n"/>
      <c r="H53" s="47" t="n"/>
      <c r="I53" s="48" t="n"/>
      <c r="J53" s="46" t="n"/>
      <c r="K53" s="47" t="n"/>
      <c r="L53" s="48" t="n"/>
      <c r="M53" s="48" t="n"/>
      <c r="N53" s="49">
        <f>IFERROR(IF($C53&lt;&gt;"x",0,IF($M53=1,E53,IF($M53=2,H53,IF($M53=3,K53,IF(COUNT(E53,H53,K53)=0,0,MIN(IF(E53&gt;0,E53,1E+99),IF(H53&gt;0,H53,1E+99),IF(K53&gt;0,K53,1E+99))))))),0)</f>
        <v/>
      </c>
      <c r="O53" s="50">
        <f>IFERROR(IF($C53&lt;&gt;"x",0,IF($M53=1,F53,IF($M53=2,I53,IF($M53=3,L53,IF(E53=IF(COUNT(E53,H53,K53)=0,0,MIN(IF(E53&gt;0,E53,1E+99),IF(H53&gt;0,H53,1E+99),IF(K53&gt;0,K53,1E+99))),F53,IF(H53=IF(COUNT(E53,H53,K53)=0,0,MIN(IF(E53&gt;0,E53,1E+99),IF(H53&gt;0,H53,1E+99),IF(K53&gt;0,K53,1E+99))),I53,L53)))))),0)</f>
        <v/>
      </c>
      <c r="P53" s="51">
        <f>IFERROR(IF($C53&lt;&gt;"x",0,IF($M53=1,D53,IF($M53=2,G53,IF($M53=3,J53,IF(E53=IF(COUNT(E53,H53,K53)=0,0,MIN(IF(E53&gt;0,E53,1E+99),IF(H53&gt;0,H53,1E+99),IF(K53&gt;0,K53,1E+99))),D53,IF(H53=IF(COUNT(E53,H53,K53)=0,0,MIN(IF(E53&gt;0,E53,1E+99),IF(H53&gt;0,H53,1E+99),IF(K53&gt;0,K53,1E+99))),G53,J53)))))),0)</f>
        <v/>
      </c>
    </row>
    <row r="54" ht="18" customHeight="1">
      <c r="A54" s="38" t="inlineStr">
        <is>
          <t>6</t>
        </is>
      </c>
      <c r="B54" s="60" t="inlineStr">
        <is>
          <t>Fascia, Soffit &amp; Gutters</t>
        </is>
      </c>
      <c r="C54" s="52">
        <f>'Scope &amp; Phases'!D54</f>
        <v/>
      </c>
      <c r="D54" s="9" t="inlineStr"/>
      <c r="E54" s="22" t="n">
        <v>1400</v>
      </c>
      <c r="F54" s="53" t="n">
        <v>3</v>
      </c>
      <c r="G54" s="9" t="n"/>
      <c r="H54" s="22" t="n"/>
      <c r="I54" s="53" t="n"/>
      <c r="J54" s="9" t="n"/>
      <c r="K54" s="22" t="n"/>
      <c r="L54" s="53" t="n"/>
      <c r="M54" s="53" t="n"/>
      <c r="N54" s="54">
        <f>IFERROR(IF($C54&lt;&gt;"x",0,IF($M54=1,E54,IF($M54=2,H54,IF($M54=3,K54,IF(COUNT(E54,H54,K54)=0,0,MIN(IF(E54&gt;0,E54,1E+99),IF(H54&gt;0,H54,1E+99),IF(K54&gt;0,K54,1E+99))))))),0)</f>
        <v/>
      </c>
      <c r="O54" s="55">
        <f>IFERROR(IF($C54&lt;&gt;"x",0,IF($M54=1,F54,IF($M54=2,I54,IF($M54=3,L54,IF(E54=IF(COUNT(E54,H54,K54)=0,0,MIN(IF(E54&gt;0,E54,1E+99),IF(H54&gt;0,H54,1E+99),IF(K54&gt;0,K54,1E+99))),F54,IF(H54=IF(COUNT(E54,H54,K54)=0,0,MIN(IF(E54&gt;0,E54,1E+99),IF(H54&gt;0,H54,1E+99),IF(K54&gt;0,K54,1E+99))),I54,L54)))))),0)</f>
        <v/>
      </c>
      <c r="P54" s="90">
        <f>IFERROR(IF($C54&lt;&gt;"x",0,IF($M54=1,D54,IF($M54=2,G54,IF($M54=3,J54,IF(E54=IF(COUNT(E54,H54,K54)=0,0,MIN(IF(E54&gt;0,E54,1E+99),IF(H54&gt;0,H54,1E+99),IF(K54&gt;0,K54,1E+99))),D54,IF(H54=IF(COUNT(E54,H54,K54)=0,0,MIN(IF(E54&gt;0,E54,1E+99),IF(H54&gt;0,H54,1E+99),IF(K54&gt;0,K54,1E+99))),G54,J54)))))),0)</f>
        <v/>
      </c>
    </row>
    <row r="55" ht="18" customHeight="1">
      <c r="A55" s="38" t="inlineStr">
        <is>
          <t>6</t>
        </is>
      </c>
      <c r="B55" s="60" t="inlineStr">
        <is>
          <t>Driveway, Walkway &amp; Hardscape</t>
        </is>
      </c>
      <c r="C55" s="52">
        <f>'Scope &amp; Phases'!D55</f>
        <v/>
      </c>
      <c r="D55" s="9" t="n"/>
      <c r="E55" s="22" t="n"/>
      <c r="F55" s="53" t="n"/>
      <c r="G55" s="9" t="n"/>
      <c r="H55" s="22" t="n"/>
      <c r="I55" s="53" t="n"/>
      <c r="J55" s="9" t="n"/>
      <c r="K55" s="22" t="n"/>
      <c r="L55" s="53" t="n"/>
      <c r="M55" s="53" t="n"/>
      <c r="N55" s="54">
        <f>IFERROR(IF($C55&lt;&gt;"x",0,IF($M55=1,E55,IF($M55=2,H55,IF($M55=3,K55,IF(COUNT(E55,H55,K55)=0,0,MIN(IF(E55&gt;0,E55,1E+99),IF(H55&gt;0,H55,1E+99),IF(K55&gt;0,K55,1E+99))))))),0)</f>
        <v/>
      </c>
      <c r="O55" s="55">
        <f>IFERROR(IF($C55&lt;&gt;"x",0,IF($M55=1,F55,IF($M55=2,I55,IF($M55=3,L55,IF(E55=IF(COUNT(E55,H55,K55)=0,0,MIN(IF(E55&gt;0,E55,1E+99),IF(H55&gt;0,H55,1E+99),IF(K55&gt;0,K55,1E+99))),F55,IF(H55=IF(COUNT(E55,H55,K55)=0,0,MIN(IF(E55&gt;0,E55,1E+99),IF(H55&gt;0,H55,1E+99),IF(K55&gt;0,K55,1E+99))),I55,L55)))))),0)</f>
        <v/>
      </c>
      <c r="P55" s="90">
        <f>IFERROR(IF($C55&lt;&gt;"x",0,IF($M55=1,D55,IF($M55=2,G55,IF($M55=3,J55,IF(E55=IF(COUNT(E55,H55,K55)=0,0,MIN(IF(E55&gt;0,E55,1E+99),IF(H55&gt;0,H55,1E+99),IF(K55&gt;0,K55,1E+99))),D55,IF(H55=IF(COUNT(E55,H55,K55)=0,0,MIN(IF(E55&gt;0,E55,1E+99),IF(H55&gt;0,H55,1E+99),IF(K55&gt;0,K55,1E+99))),G55,J55)))))),0)</f>
        <v/>
      </c>
    </row>
    <row r="56" ht="18" customHeight="1">
      <c r="A56" s="38" t="inlineStr">
        <is>
          <t>6</t>
        </is>
      </c>
      <c r="B56" s="60" t="inlineStr">
        <is>
          <t>Fencing &amp; Gates</t>
        </is>
      </c>
      <c r="C56" s="52">
        <f>'Scope &amp; Phases'!D56</f>
        <v/>
      </c>
      <c r="D56" s="9" t="inlineStr"/>
      <c r="E56" s="22" t="n">
        <v>2150</v>
      </c>
      <c r="F56" s="53" t="n">
        <v>3</v>
      </c>
      <c r="G56" s="9" t="n"/>
      <c r="H56" s="22" t="n"/>
      <c r="I56" s="53" t="n"/>
      <c r="J56" s="9" t="n"/>
      <c r="K56" s="22" t="n"/>
      <c r="L56" s="53" t="n"/>
      <c r="M56" s="53" t="n"/>
      <c r="N56" s="54">
        <f>IFERROR(IF($C56&lt;&gt;"x",0,IF($M56=1,E56,IF($M56=2,H56,IF($M56=3,K56,IF(COUNT(E56,H56,K56)=0,0,MIN(IF(E56&gt;0,E56,1E+99),IF(H56&gt;0,H56,1E+99),IF(K56&gt;0,K56,1E+99))))))),0)</f>
        <v/>
      </c>
      <c r="O56" s="55">
        <f>IFERROR(IF($C56&lt;&gt;"x",0,IF($M56=1,F56,IF($M56=2,I56,IF($M56=3,L56,IF(E56=IF(COUNT(E56,H56,K56)=0,0,MIN(IF(E56&gt;0,E56,1E+99),IF(H56&gt;0,H56,1E+99),IF(K56&gt;0,K56,1E+99))),F56,IF(H56=IF(COUNT(E56,H56,K56)=0,0,MIN(IF(E56&gt;0,E56,1E+99),IF(H56&gt;0,H56,1E+99),IF(K56&gt;0,K56,1E+99))),I56,L56)))))),0)</f>
        <v/>
      </c>
      <c r="P56" s="90">
        <f>IFERROR(IF($C56&lt;&gt;"x",0,IF($M56=1,D56,IF($M56=2,G56,IF($M56=3,J56,IF(E56=IF(COUNT(E56,H56,K56)=0,0,MIN(IF(E56&gt;0,E56,1E+99),IF(H56&gt;0,H56,1E+99),IF(K56&gt;0,K56,1E+99))),D56,IF(H56=IF(COUNT(E56,H56,K56)=0,0,MIN(IF(E56&gt;0,E56,1E+99),IF(H56&gt;0,H56,1E+99),IF(K56&gt;0,K56,1E+99))),G56,J56)))))),0)</f>
        <v/>
      </c>
    </row>
    <row r="57" ht="18" customHeight="1">
      <c r="A57" s="38" t="inlineStr">
        <is>
          <t>6</t>
        </is>
      </c>
      <c r="B57" s="60" t="inlineStr">
        <is>
          <t>Pool Repair &amp; Resurface</t>
        </is>
      </c>
      <c r="C57" s="52">
        <f>'Scope &amp; Phases'!D57</f>
        <v/>
      </c>
      <c r="D57" s="9" t="n"/>
      <c r="E57" s="22" t="n"/>
      <c r="F57" s="53" t="n"/>
      <c r="G57" s="9" t="n"/>
      <c r="H57" s="22" t="n"/>
      <c r="I57" s="53" t="n"/>
      <c r="J57" s="9" t="n"/>
      <c r="K57" s="22" t="n"/>
      <c r="L57" s="53" t="n"/>
      <c r="M57" s="53" t="n"/>
      <c r="N57" s="54">
        <f>IFERROR(IF($C57&lt;&gt;"x",0,IF($M57=1,E57,IF($M57=2,H57,IF($M57=3,K57,IF(COUNT(E57,H57,K57)=0,0,MIN(IF(E57&gt;0,E57,1E+99),IF(H57&gt;0,H57,1E+99),IF(K57&gt;0,K57,1E+99))))))),0)</f>
        <v/>
      </c>
      <c r="O57" s="55">
        <f>IFERROR(IF($C57&lt;&gt;"x",0,IF($M57=1,F57,IF($M57=2,I57,IF($M57=3,L57,IF(E57=IF(COUNT(E57,H57,K57)=0,0,MIN(IF(E57&gt;0,E57,1E+99),IF(H57&gt;0,H57,1E+99),IF(K57&gt;0,K57,1E+99))),F57,IF(H57=IF(COUNT(E57,H57,K57)=0,0,MIN(IF(E57&gt;0,E57,1E+99),IF(H57&gt;0,H57,1E+99),IF(K57&gt;0,K57,1E+99))),I57,L57)))))),0)</f>
        <v/>
      </c>
      <c r="P57" s="90">
        <f>IFERROR(IF($C57&lt;&gt;"x",0,IF($M57=1,D57,IF($M57=2,G57,IF($M57=3,J57,IF(E57=IF(COUNT(E57,H57,K57)=0,0,MIN(IF(E57&gt;0,E57,1E+99),IF(H57&gt;0,H57,1E+99),IF(K57&gt;0,K57,1E+99))),D57,IF(H57=IF(COUNT(E57,H57,K57)=0,0,MIN(IF(E57&gt;0,E57,1E+99),IF(H57&gt;0,H57,1E+99),IF(K57&gt;0,K57,1E+99))),G57,J57)))))),0)</f>
        <v/>
      </c>
    </row>
    <row r="58" ht="18" customHeight="1">
      <c r="A58" s="38" t="inlineStr">
        <is>
          <t>6</t>
        </is>
      </c>
      <c r="B58" s="60" t="inlineStr">
        <is>
          <t>Exterior Paint</t>
        </is>
      </c>
      <c r="C58" s="52">
        <f>'Scope &amp; Phases'!D58</f>
        <v/>
      </c>
      <c r="D58" s="9" t="inlineStr">
        <is>
          <t>Brushworks AZ</t>
        </is>
      </c>
      <c r="E58" s="22" t="n">
        <v>3250</v>
      </c>
      <c r="F58" s="53" t="n">
        <v>4</v>
      </c>
      <c r="G58" s="9" t="inlineStr">
        <is>
          <t>Gilbert Painting</t>
        </is>
      </c>
      <c r="H58" s="22" t="n">
        <v>3700</v>
      </c>
      <c r="I58" s="53" t="n">
        <v>5</v>
      </c>
      <c r="J58" s="9" t="inlineStr">
        <is>
          <t>Red Rock Coatings</t>
        </is>
      </c>
      <c r="K58" s="22" t="n">
        <v>3450</v>
      </c>
      <c r="L58" s="53" t="n">
        <v>3</v>
      </c>
      <c r="M58" s="53" t="n"/>
      <c r="N58" s="54">
        <f>IFERROR(IF($C58&lt;&gt;"x",0,IF($M58=1,E58,IF($M58=2,H58,IF($M58=3,K58,IF(COUNT(E58,H58,K58)=0,0,MIN(IF(E58&gt;0,E58,1E+99),IF(H58&gt;0,H58,1E+99),IF(K58&gt;0,K58,1E+99))))))),0)</f>
        <v/>
      </c>
      <c r="O58" s="55">
        <f>IFERROR(IF($C58&lt;&gt;"x",0,IF($M58=1,F58,IF($M58=2,I58,IF($M58=3,L58,IF(E58=IF(COUNT(E58,H58,K58)=0,0,MIN(IF(E58&gt;0,E58,1E+99),IF(H58&gt;0,H58,1E+99),IF(K58&gt;0,K58,1E+99))),F58,IF(H58=IF(COUNT(E58,H58,K58)=0,0,MIN(IF(E58&gt;0,E58,1E+99),IF(H58&gt;0,H58,1E+99),IF(K58&gt;0,K58,1E+99))),I58,L58)))))),0)</f>
        <v/>
      </c>
      <c r="P58" s="90">
        <f>IFERROR(IF($C58&lt;&gt;"x",0,IF($M58=1,D58,IF($M58=2,G58,IF($M58=3,J58,IF(E58=IF(COUNT(E58,H58,K58)=0,0,MIN(IF(E58&gt;0,E58,1E+99),IF(H58&gt;0,H58,1E+99),IF(K58&gt;0,K58,1E+99))),D58,IF(H58=IF(COUNT(E58,H58,K58)=0,0,MIN(IF(E58&gt;0,E58,1E+99),IF(H58&gt;0,H58,1E+99),IF(K58&gt;0,K58,1E+99))),G58,J58)))))),0)</f>
        <v/>
      </c>
    </row>
    <row r="59" ht="18" customHeight="1">
      <c r="A59" s="38" t="inlineStr">
        <is>
          <t>6</t>
        </is>
      </c>
      <c r="B59" s="60" t="inlineStr">
        <is>
          <t>Exterior Lighting</t>
        </is>
      </c>
      <c r="C59" s="52">
        <f>'Scope &amp; Phases'!D59</f>
        <v/>
      </c>
      <c r="D59" s="9" t="inlineStr"/>
      <c r="E59" s="22" t="n">
        <v>575</v>
      </c>
      <c r="F59" s="53" t="n">
        <v>1</v>
      </c>
      <c r="G59" s="9" t="n"/>
      <c r="H59" s="22" t="n"/>
      <c r="I59" s="53" t="n"/>
      <c r="J59" s="9" t="n"/>
      <c r="K59" s="22" t="n"/>
      <c r="L59" s="53" t="n"/>
      <c r="M59" s="53" t="n"/>
      <c r="N59" s="54">
        <f>IFERROR(IF($C59&lt;&gt;"x",0,IF($M59=1,E59,IF($M59=2,H59,IF($M59=3,K59,IF(COUNT(E59,H59,K59)=0,0,MIN(IF(E59&gt;0,E59,1E+99),IF(H59&gt;0,H59,1E+99),IF(K59&gt;0,K59,1E+99))))))),0)</f>
        <v/>
      </c>
      <c r="O59" s="55">
        <f>IFERROR(IF($C59&lt;&gt;"x",0,IF($M59=1,F59,IF($M59=2,I59,IF($M59=3,L59,IF(E59=IF(COUNT(E59,H59,K59)=0,0,MIN(IF(E59&gt;0,E59,1E+99),IF(H59&gt;0,H59,1E+99),IF(K59&gt;0,K59,1E+99))),F59,IF(H59=IF(COUNT(E59,H59,K59)=0,0,MIN(IF(E59&gt;0,E59,1E+99),IF(H59&gt;0,H59,1E+99),IF(K59&gt;0,K59,1E+99))),I59,L59)))))),0)</f>
        <v/>
      </c>
      <c r="P59" s="90">
        <f>IFERROR(IF($C59&lt;&gt;"x",0,IF($M59=1,D59,IF($M59=2,G59,IF($M59=3,J59,IF(E59=IF(COUNT(E59,H59,K59)=0,0,MIN(IF(E59&gt;0,E59,1E+99),IF(H59&gt;0,H59,1E+99),IF(K59&gt;0,K59,1E+99))),D59,IF(H59=IF(COUNT(E59,H59,K59)=0,0,MIN(IF(E59&gt;0,E59,1E+99),IF(H59&gt;0,H59,1E+99),IF(K59&gt;0,K59,1E+99))),G59,J59)))))),0)</f>
        <v/>
      </c>
    </row>
    <row r="60" ht="18" customHeight="1">
      <c r="A60" s="38" t="inlineStr">
        <is>
          <t>6</t>
        </is>
      </c>
      <c r="B60" s="60" t="inlineStr">
        <is>
          <t>Landscaping</t>
        </is>
      </c>
      <c r="C60" s="52">
        <f>'Scope &amp; Phases'!D60</f>
        <v/>
      </c>
      <c r="D60" s="9" t="inlineStr">
        <is>
          <t>Verde Landscape</t>
        </is>
      </c>
      <c r="E60" s="22" t="n">
        <v>4225</v>
      </c>
      <c r="F60" s="53" t="n">
        <v>6</v>
      </c>
      <c r="G60" s="9" t="inlineStr">
        <is>
          <t>Cactus Creek Outdoor</t>
        </is>
      </c>
      <c r="H60" s="22" t="n">
        <v>4825</v>
      </c>
      <c r="I60" s="53" t="n">
        <v>7</v>
      </c>
      <c r="J60" s="9" t="inlineStr">
        <is>
          <t>Ironwood Grounds</t>
        </is>
      </c>
      <c r="K60" s="22" t="n">
        <v>4475</v>
      </c>
      <c r="L60" s="53" t="n">
        <v>5</v>
      </c>
      <c r="M60" s="53" t="n"/>
      <c r="N60" s="54">
        <f>IFERROR(IF($C60&lt;&gt;"x",0,IF($M60=1,E60,IF($M60=2,H60,IF($M60=3,K60,IF(COUNT(E60,H60,K60)=0,0,MIN(IF(E60&gt;0,E60,1E+99),IF(H60&gt;0,H60,1E+99),IF(K60&gt;0,K60,1E+99))))))),0)</f>
        <v/>
      </c>
      <c r="O60" s="55">
        <f>IFERROR(IF($C60&lt;&gt;"x",0,IF($M60=1,F60,IF($M60=2,I60,IF($M60=3,L60,IF(E60=IF(COUNT(E60,H60,K60)=0,0,MIN(IF(E60&gt;0,E60,1E+99),IF(H60&gt;0,H60,1E+99),IF(K60&gt;0,K60,1E+99))),F60,IF(H60=IF(COUNT(E60,H60,K60)=0,0,MIN(IF(E60&gt;0,E60,1E+99),IF(H60&gt;0,H60,1E+99),IF(K60&gt;0,K60,1E+99))),I60,L60)))))),0)</f>
        <v/>
      </c>
      <c r="P60" s="90">
        <f>IFERROR(IF($C60&lt;&gt;"x",0,IF($M60=1,D60,IF($M60=2,G60,IF($M60=3,J60,IF(E60=IF(COUNT(E60,H60,K60)=0,0,MIN(IF(E60&gt;0,E60,1E+99),IF(H60&gt;0,H60,1E+99),IF(K60&gt;0,K60,1E+99))),D60,IF(H60=IF(COUNT(E60,H60,K60)=0,0,MIN(IF(E60&gt;0,E60,1E+99),IF(H60&gt;0,H60,1E+99),IF(K60&gt;0,K60,1E+99))),G60,J60)))))),0)</f>
        <v/>
      </c>
    </row>
    <row r="61" ht="18" customHeight="1">
      <c r="A61" s="33" t="inlineStr">
        <is>
          <t>7</t>
        </is>
      </c>
      <c r="B61" s="34" t="inlineStr">
        <is>
          <t>Plumbing Trim</t>
        </is>
      </c>
      <c r="C61" s="45">
        <f>'Scope &amp; Phases'!D61</f>
        <v/>
      </c>
      <c r="D61" s="46" t="inlineStr"/>
      <c r="E61" s="47" t="n">
        <v>1750</v>
      </c>
      <c r="F61" s="48" t="n">
        <v>3</v>
      </c>
      <c r="G61" s="46" t="n"/>
      <c r="H61" s="47" t="n"/>
      <c r="I61" s="48" t="n"/>
      <c r="J61" s="46" t="n"/>
      <c r="K61" s="47" t="n"/>
      <c r="L61" s="48" t="n"/>
      <c r="M61" s="48" t="n"/>
      <c r="N61" s="49">
        <f>IFERROR(IF($C61&lt;&gt;"x",0,IF($M61=1,E61,IF($M61=2,H61,IF($M61=3,K61,IF(COUNT(E61,H61,K61)=0,0,MIN(IF(E61&gt;0,E61,1E+99),IF(H61&gt;0,H61,1E+99),IF(K61&gt;0,K61,1E+99))))))),0)</f>
        <v/>
      </c>
      <c r="O61" s="50">
        <f>IFERROR(IF($C61&lt;&gt;"x",0,IF($M61=1,F61,IF($M61=2,I61,IF($M61=3,L61,IF(E61=IF(COUNT(E61,H61,K61)=0,0,MIN(IF(E61&gt;0,E61,1E+99),IF(H61&gt;0,H61,1E+99),IF(K61&gt;0,K61,1E+99))),F61,IF(H61=IF(COUNT(E61,H61,K61)=0,0,MIN(IF(E61&gt;0,E61,1E+99),IF(H61&gt;0,H61,1E+99),IF(K61&gt;0,K61,1E+99))),I61,L61)))))),0)</f>
        <v/>
      </c>
      <c r="P61" s="51">
        <f>IFERROR(IF($C61&lt;&gt;"x",0,IF($M61=1,D61,IF($M61=2,G61,IF($M61=3,J61,IF(E61=IF(COUNT(E61,H61,K61)=0,0,MIN(IF(E61&gt;0,E61,1E+99),IF(H61&gt;0,H61,1E+99),IF(K61&gt;0,K61,1E+99))),D61,IF(H61=IF(COUNT(E61,H61,K61)=0,0,MIN(IF(E61&gt;0,E61,1E+99),IF(H61&gt;0,H61,1E+99),IF(K61&gt;0,K61,1E+99))),G61,J61)))))),0)</f>
        <v/>
      </c>
    </row>
    <row r="62" ht="18" customHeight="1">
      <c r="A62" s="38" t="inlineStr">
        <is>
          <t>7</t>
        </is>
      </c>
      <c r="B62" s="60" t="inlineStr">
        <is>
          <t>Electrical Trim</t>
        </is>
      </c>
      <c r="C62" s="52">
        <f>'Scope &amp; Phases'!D62</f>
        <v/>
      </c>
      <c r="D62" s="9" t="inlineStr"/>
      <c r="E62" s="22" t="n">
        <v>1550</v>
      </c>
      <c r="F62" s="53" t="n">
        <v>3</v>
      </c>
      <c r="G62" s="9" t="n"/>
      <c r="H62" s="22" t="n"/>
      <c r="I62" s="53" t="n"/>
      <c r="J62" s="9" t="n"/>
      <c r="K62" s="22" t="n"/>
      <c r="L62" s="53" t="n"/>
      <c r="M62" s="53" t="n"/>
      <c r="N62" s="54">
        <f>IFERROR(IF($C62&lt;&gt;"x",0,IF($M62=1,E62,IF($M62=2,H62,IF($M62=3,K62,IF(COUNT(E62,H62,K62)=0,0,MIN(IF(E62&gt;0,E62,1E+99),IF(H62&gt;0,H62,1E+99),IF(K62&gt;0,K62,1E+99))))))),0)</f>
        <v/>
      </c>
      <c r="O62" s="55">
        <f>IFERROR(IF($C62&lt;&gt;"x",0,IF($M62=1,F62,IF($M62=2,I62,IF($M62=3,L62,IF(E62=IF(COUNT(E62,H62,K62)=0,0,MIN(IF(E62&gt;0,E62,1E+99),IF(H62&gt;0,H62,1E+99),IF(K62&gt;0,K62,1E+99))),F62,IF(H62=IF(COUNT(E62,H62,K62)=0,0,MIN(IF(E62&gt;0,E62,1E+99),IF(H62&gt;0,H62,1E+99),IF(K62&gt;0,K62,1E+99))),I62,L62)))))),0)</f>
        <v/>
      </c>
      <c r="P62" s="90">
        <f>IFERROR(IF($C62&lt;&gt;"x",0,IF($M62=1,D62,IF($M62=2,G62,IF($M62=3,J62,IF(E62=IF(COUNT(E62,H62,K62)=0,0,MIN(IF(E62&gt;0,E62,1E+99),IF(H62&gt;0,H62,1E+99),IF(K62&gt;0,K62,1E+99))),D62,IF(H62=IF(COUNT(E62,H62,K62)=0,0,MIN(IF(E62&gt;0,E62,1E+99),IF(H62&gt;0,H62,1E+99),IF(K62&gt;0,K62,1E+99))),G62,J62)))))),0)</f>
        <v/>
      </c>
    </row>
    <row r="63" ht="18" customHeight="1">
      <c r="A63" s="38" t="inlineStr">
        <is>
          <t>7</t>
        </is>
      </c>
      <c r="B63" s="60" t="inlineStr">
        <is>
          <t>HVAC Start-up &amp; Registers</t>
        </is>
      </c>
      <c r="C63" s="52">
        <f>'Scope &amp; Phases'!D63</f>
        <v/>
      </c>
      <c r="D63" s="9" t="inlineStr"/>
      <c r="E63" s="22" t="n">
        <v>700</v>
      </c>
      <c r="F63" s="53" t="n">
        <v>2</v>
      </c>
      <c r="G63" s="9" t="n"/>
      <c r="H63" s="22" t="n"/>
      <c r="I63" s="53" t="n"/>
      <c r="J63" s="9" t="n"/>
      <c r="K63" s="22" t="n"/>
      <c r="L63" s="53" t="n"/>
      <c r="M63" s="53" t="n"/>
      <c r="N63" s="54">
        <f>IFERROR(IF($C63&lt;&gt;"x",0,IF($M63=1,E63,IF($M63=2,H63,IF($M63=3,K63,IF(COUNT(E63,H63,K63)=0,0,MIN(IF(E63&gt;0,E63,1E+99),IF(H63&gt;0,H63,1E+99),IF(K63&gt;0,K63,1E+99))))))),0)</f>
        <v/>
      </c>
      <c r="O63" s="55">
        <f>IFERROR(IF($C63&lt;&gt;"x",0,IF($M63=1,F63,IF($M63=2,I63,IF($M63=3,L63,IF(E63=IF(COUNT(E63,H63,K63)=0,0,MIN(IF(E63&gt;0,E63,1E+99),IF(H63&gt;0,H63,1E+99),IF(K63&gt;0,K63,1E+99))),F63,IF(H63=IF(COUNT(E63,H63,K63)=0,0,MIN(IF(E63&gt;0,E63,1E+99),IF(H63&gt;0,H63,1E+99),IF(K63&gt;0,K63,1E+99))),I63,L63)))))),0)</f>
        <v/>
      </c>
      <c r="P63" s="90">
        <f>IFERROR(IF($C63&lt;&gt;"x",0,IF($M63=1,D63,IF($M63=2,G63,IF($M63=3,J63,IF(E63=IF(COUNT(E63,H63,K63)=0,0,MIN(IF(E63&gt;0,E63,1E+99),IF(H63&gt;0,H63,1E+99),IF(K63&gt;0,K63,1E+99))),D63,IF(H63=IF(COUNT(E63,H63,K63)=0,0,MIN(IF(E63&gt;0,E63,1E+99),IF(H63&gt;0,H63,1E+99),IF(K63&gt;0,K63,1E+99))),G63,J63)))))),0)</f>
        <v/>
      </c>
    </row>
    <row r="64" ht="18" customHeight="1">
      <c r="A64" s="38" t="inlineStr">
        <is>
          <t>7</t>
        </is>
      </c>
      <c r="B64" s="60" t="inlineStr">
        <is>
          <t>Shower Glass &amp; Mirrors</t>
        </is>
      </c>
      <c r="C64" s="52">
        <f>'Scope &amp; Phases'!D64</f>
        <v/>
      </c>
      <c r="D64" s="9" t="inlineStr"/>
      <c r="E64" s="22" t="n">
        <v>1850</v>
      </c>
      <c r="F64" s="53" t="n">
        <v>2</v>
      </c>
      <c r="G64" s="9" t="n"/>
      <c r="H64" s="22" t="n"/>
      <c r="I64" s="53" t="n"/>
      <c r="J64" s="9" t="n"/>
      <c r="K64" s="22" t="n"/>
      <c r="L64" s="53" t="n"/>
      <c r="M64" s="53" t="n"/>
      <c r="N64" s="54">
        <f>IFERROR(IF($C64&lt;&gt;"x",0,IF($M64=1,E64,IF($M64=2,H64,IF($M64=3,K64,IF(COUNT(E64,H64,K64)=0,0,MIN(IF(E64&gt;0,E64,1E+99),IF(H64&gt;0,H64,1E+99),IF(K64&gt;0,K64,1E+99))))))),0)</f>
        <v/>
      </c>
      <c r="O64" s="55">
        <f>IFERROR(IF($C64&lt;&gt;"x",0,IF($M64=1,F64,IF($M64=2,I64,IF($M64=3,L64,IF(E64=IF(COUNT(E64,H64,K64)=0,0,MIN(IF(E64&gt;0,E64,1E+99),IF(H64&gt;0,H64,1E+99),IF(K64&gt;0,K64,1E+99))),F64,IF(H64=IF(COUNT(E64,H64,K64)=0,0,MIN(IF(E64&gt;0,E64,1E+99),IF(H64&gt;0,H64,1E+99),IF(K64&gt;0,K64,1E+99))),I64,L64)))))),0)</f>
        <v/>
      </c>
      <c r="P64" s="90">
        <f>IFERROR(IF($C64&lt;&gt;"x",0,IF($M64=1,D64,IF($M64=2,G64,IF($M64=3,J64,IF(E64=IF(COUNT(E64,H64,K64)=0,0,MIN(IF(E64&gt;0,E64,1E+99),IF(H64&gt;0,H64,1E+99),IF(K64&gt;0,K64,1E+99))),D64,IF(H64=IF(COUNT(E64,H64,K64)=0,0,MIN(IF(E64&gt;0,E64,1E+99),IF(H64&gt;0,H64,1E+99),IF(K64&gt;0,K64,1E+99))),G64,J64)))))),0)</f>
        <v/>
      </c>
    </row>
    <row r="65" ht="18" customHeight="1">
      <c r="A65" s="38" t="inlineStr">
        <is>
          <t>7</t>
        </is>
      </c>
      <c r="B65" s="60" t="inlineStr">
        <is>
          <t>Bath Accessories</t>
        </is>
      </c>
      <c r="C65" s="52">
        <f>'Scope &amp; Phases'!D65</f>
        <v/>
      </c>
      <c r="D65" s="9" t="inlineStr"/>
      <c r="E65" s="22" t="n">
        <v>450</v>
      </c>
      <c r="F65" s="53" t="n">
        <v>1</v>
      </c>
      <c r="G65" s="9" t="n"/>
      <c r="H65" s="22" t="n"/>
      <c r="I65" s="53" t="n"/>
      <c r="J65" s="9" t="n"/>
      <c r="K65" s="22" t="n"/>
      <c r="L65" s="53" t="n"/>
      <c r="M65" s="53" t="n"/>
      <c r="N65" s="54">
        <f>IFERROR(IF($C65&lt;&gt;"x",0,IF($M65=1,E65,IF($M65=2,H65,IF($M65=3,K65,IF(COUNT(E65,H65,K65)=0,0,MIN(IF(E65&gt;0,E65,1E+99),IF(H65&gt;0,H65,1E+99),IF(K65&gt;0,K65,1E+99))))))),0)</f>
        <v/>
      </c>
      <c r="O65" s="55">
        <f>IFERROR(IF($C65&lt;&gt;"x",0,IF($M65=1,F65,IF($M65=2,I65,IF($M65=3,L65,IF(E65=IF(COUNT(E65,H65,K65)=0,0,MIN(IF(E65&gt;0,E65,1E+99),IF(H65&gt;0,H65,1E+99),IF(K65&gt;0,K65,1E+99))),F65,IF(H65=IF(COUNT(E65,H65,K65)=0,0,MIN(IF(E65&gt;0,E65,1E+99),IF(H65&gt;0,H65,1E+99),IF(K65&gt;0,K65,1E+99))),I65,L65)))))),0)</f>
        <v/>
      </c>
      <c r="P65" s="90">
        <f>IFERROR(IF($C65&lt;&gt;"x",0,IF($M65=1,D65,IF($M65=2,G65,IF($M65=3,J65,IF(E65=IF(COUNT(E65,H65,K65)=0,0,MIN(IF(E65&gt;0,E65,1E+99),IF(H65&gt;0,H65,1E+99),IF(K65&gt;0,K65,1E+99))),D65,IF(H65=IF(COUNT(E65,H65,K65)=0,0,MIN(IF(E65&gt;0,E65,1E+99),IF(H65&gt;0,H65,1E+99),IF(K65&gt;0,K65,1E+99))),G65,J65)))))),0)</f>
        <v/>
      </c>
    </row>
    <row r="66" ht="18" customHeight="1">
      <c r="A66" s="38" t="inlineStr">
        <is>
          <t>7</t>
        </is>
      </c>
      <c r="B66" s="60" t="inlineStr">
        <is>
          <t>Appliances</t>
        </is>
      </c>
      <c r="C66" s="52">
        <f>'Scope &amp; Phases'!D66</f>
        <v/>
      </c>
      <c r="D66" s="9" t="inlineStr">
        <is>
          <t>Spencer's TV &amp; Appliance</t>
        </is>
      </c>
      <c r="E66" s="22" t="n">
        <v>4050</v>
      </c>
      <c r="F66" s="53" t="n">
        <v>1</v>
      </c>
      <c r="G66" s="9" t="inlineStr">
        <is>
          <t>Best Buy</t>
        </is>
      </c>
      <c r="H66" s="22" t="n">
        <v>4625</v>
      </c>
      <c r="I66" s="53" t="n">
        <v>2</v>
      </c>
      <c r="J66" s="9" t="inlineStr">
        <is>
          <t>Ferguson</t>
        </is>
      </c>
      <c r="K66" s="22" t="n">
        <v>4300</v>
      </c>
      <c r="L66" s="53" t="n">
        <v>1</v>
      </c>
      <c r="M66" s="53" t="n"/>
      <c r="N66" s="54">
        <f>IFERROR(IF($C66&lt;&gt;"x",0,IF($M66=1,E66,IF($M66=2,H66,IF($M66=3,K66,IF(COUNT(E66,H66,K66)=0,0,MIN(IF(E66&gt;0,E66,1E+99),IF(H66&gt;0,H66,1E+99),IF(K66&gt;0,K66,1E+99))))))),0)</f>
        <v/>
      </c>
      <c r="O66" s="55">
        <f>IFERROR(IF($C66&lt;&gt;"x",0,IF($M66=1,F66,IF($M66=2,I66,IF($M66=3,L66,IF(E66=IF(COUNT(E66,H66,K66)=0,0,MIN(IF(E66&gt;0,E66,1E+99),IF(H66&gt;0,H66,1E+99),IF(K66&gt;0,K66,1E+99))),F66,IF(H66=IF(COUNT(E66,H66,K66)=0,0,MIN(IF(E66&gt;0,E66,1E+99),IF(H66&gt;0,H66,1E+99),IF(K66&gt;0,K66,1E+99))),I66,L66)))))),0)</f>
        <v/>
      </c>
      <c r="P66" s="90">
        <f>IFERROR(IF($C66&lt;&gt;"x",0,IF($M66=1,D66,IF($M66=2,G66,IF($M66=3,J66,IF(E66=IF(COUNT(E66,H66,K66)=0,0,MIN(IF(E66&gt;0,E66,1E+99),IF(H66&gt;0,H66,1E+99),IF(K66&gt;0,K66,1E+99))),D66,IF(H66=IF(COUNT(E66,H66,K66)=0,0,MIN(IF(E66&gt;0,E66,1E+99),IF(H66&gt;0,H66,1E+99),IF(K66&gt;0,K66,1E+99))),G66,J66)))))),0)</f>
        <v/>
      </c>
    </row>
    <row r="67" ht="18" customHeight="1">
      <c r="A67" s="38" t="inlineStr">
        <is>
          <t>7</t>
        </is>
      </c>
      <c r="B67" s="60" t="inlineStr">
        <is>
          <t>Garage Door &amp; Opener</t>
        </is>
      </c>
      <c r="C67" s="52">
        <f>'Scope &amp; Phases'!D67</f>
        <v/>
      </c>
      <c r="D67" s="9" t="inlineStr"/>
      <c r="E67" s="22" t="n">
        <v>1325</v>
      </c>
      <c r="F67" s="53" t="n">
        <v>1</v>
      </c>
      <c r="G67" s="9" t="n"/>
      <c r="H67" s="22" t="n"/>
      <c r="I67" s="53" t="n"/>
      <c r="J67" s="9" t="n"/>
      <c r="K67" s="22" t="n"/>
      <c r="L67" s="53" t="n"/>
      <c r="M67" s="53" t="n"/>
      <c r="N67" s="54">
        <f>IFERROR(IF($C67&lt;&gt;"x",0,IF($M67=1,E67,IF($M67=2,H67,IF($M67=3,K67,IF(COUNT(E67,H67,K67)=0,0,MIN(IF(E67&gt;0,E67,1E+99),IF(H67&gt;0,H67,1E+99),IF(K67&gt;0,K67,1E+99))))))),0)</f>
        <v/>
      </c>
      <c r="O67" s="55">
        <f>IFERROR(IF($C67&lt;&gt;"x",0,IF($M67=1,F67,IF($M67=2,I67,IF($M67=3,L67,IF(E67=IF(COUNT(E67,H67,K67)=0,0,MIN(IF(E67&gt;0,E67,1E+99),IF(H67&gt;0,H67,1E+99),IF(K67&gt;0,K67,1E+99))),F67,IF(H67=IF(COUNT(E67,H67,K67)=0,0,MIN(IF(E67&gt;0,E67,1E+99),IF(H67&gt;0,H67,1E+99),IF(K67&gt;0,K67,1E+99))),I67,L67)))))),0)</f>
        <v/>
      </c>
      <c r="P67" s="90">
        <f>IFERROR(IF($C67&lt;&gt;"x",0,IF($M67=1,D67,IF($M67=2,G67,IF($M67=3,J67,IF(E67=IF(COUNT(E67,H67,K67)=0,0,MIN(IF(E67&gt;0,E67,1E+99),IF(H67&gt;0,H67,1E+99),IF(K67&gt;0,K67,1E+99))),D67,IF(H67=IF(COUNT(E67,H67,K67)=0,0,MIN(IF(E67&gt;0,E67,1E+99),IF(H67&gt;0,H67,1E+99),IF(K67&gt;0,K67,1E+99))),G67,J67)))))),0)</f>
        <v/>
      </c>
    </row>
    <row r="68" ht="18" customHeight="1">
      <c r="A68" s="38" t="inlineStr">
        <is>
          <t>7</t>
        </is>
      </c>
      <c r="B68" s="60" t="inlineStr">
        <is>
          <t>Life Safety &amp; Final Inspections</t>
        </is>
      </c>
      <c r="C68" s="52">
        <f>'Scope &amp; Phases'!D68</f>
        <v/>
      </c>
      <c r="D68" s="9" t="inlineStr"/>
      <c r="E68" s="22" t="n">
        <v>400</v>
      </c>
      <c r="F68" s="53" t="n">
        <v>2</v>
      </c>
      <c r="G68" s="9" t="n"/>
      <c r="H68" s="22" t="n"/>
      <c r="I68" s="53" t="n"/>
      <c r="J68" s="9" t="n"/>
      <c r="K68" s="22" t="n"/>
      <c r="L68" s="53" t="n"/>
      <c r="M68" s="53" t="n"/>
      <c r="N68" s="54">
        <f>IFERROR(IF($C68&lt;&gt;"x",0,IF($M68=1,E68,IF($M68=2,H68,IF($M68=3,K68,IF(COUNT(E68,H68,K68)=0,0,MIN(IF(E68&gt;0,E68,1E+99),IF(H68&gt;0,H68,1E+99),IF(K68&gt;0,K68,1E+99))))))),0)</f>
        <v/>
      </c>
      <c r="O68" s="55">
        <f>IFERROR(IF($C68&lt;&gt;"x",0,IF($M68=1,F68,IF($M68=2,I68,IF($M68=3,L68,IF(E68=IF(COUNT(E68,H68,K68)=0,0,MIN(IF(E68&gt;0,E68,1E+99),IF(H68&gt;0,H68,1E+99),IF(K68&gt;0,K68,1E+99))),F68,IF(H68=IF(COUNT(E68,H68,K68)=0,0,MIN(IF(E68&gt;0,E68,1E+99),IF(H68&gt;0,H68,1E+99),IF(K68&gt;0,K68,1E+99))),I68,L68)))))),0)</f>
        <v/>
      </c>
      <c r="P68" s="90">
        <f>IFERROR(IF($C68&lt;&gt;"x",0,IF($M68=1,D68,IF($M68=2,G68,IF($M68=3,J68,IF(E68=IF(COUNT(E68,H68,K68)=0,0,MIN(IF(E68&gt;0,E68,1E+99),IF(H68&gt;0,H68,1E+99),IF(K68&gt;0,K68,1E+99))),D68,IF(H68=IF(COUNT(E68,H68,K68)=0,0,MIN(IF(E68&gt;0,E68,1E+99),IF(H68&gt;0,H68,1E+99),IF(K68&gt;0,K68,1E+99))),G68,J68)))))),0)</f>
        <v/>
      </c>
    </row>
    <row r="69" ht="18" customHeight="1">
      <c r="A69" s="33" t="inlineStr">
        <is>
          <t>8</t>
        </is>
      </c>
      <c r="B69" s="34" t="inlineStr">
        <is>
          <t>Punch List &amp; Touch-up</t>
        </is>
      </c>
      <c r="C69" s="45">
        <f>'Scope &amp; Phases'!D69</f>
        <v/>
      </c>
      <c r="D69" s="46" t="inlineStr"/>
      <c r="E69" s="47" t="n">
        <v>1400</v>
      </c>
      <c r="F69" s="48" t="n">
        <v>4</v>
      </c>
      <c r="G69" s="46" t="n"/>
      <c r="H69" s="47" t="n"/>
      <c r="I69" s="48" t="n"/>
      <c r="J69" s="46" t="n"/>
      <c r="K69" s="47" t="n"/>
      <c r="L69" s="48" t="n"/>
      <c r="M69" s="48" t="n"/>
      <c r="N69" s="49">
        <f>IFERROR(IF($C69&lt;&gt;"x",0,IF($M69=1,E69,IF($M69=2,H69,IF($M69=3,K69,IF(COUNT(E69,H69,K69)=0,0,MIN(IF(E69&gt;0,E69,1E+99),IF(H69&gt;0,H69,1E+99),IF(K69&gt;0,K69,1E+99))))))),0)</f>
        <v/>
      </c>
      <c r="O69" s="50">
        <f>IFERROR(IF($C69&lt;&gt;"x",0,IF($M69=1,F69,IF($M69=2,I69,IF($M69=3,L69,IF(E69=IF(COUNT(E69,H69,K69)=0,0,MIN(IF(E69&gt;0,E69,1E+99),IF(H69&gt;0,H69,1E+99),IF(K69&gt;0,K69,1E+99))),F69,IF(H69=IF(COUNT(E69,H69,K69)=0,0,MIN(IF(E69&gt;0,E69,1E+99),IF(H69&gt;0,H69,1E+99),IF(K69&gt;0,K69,1E+99))),I69,L69)))))),0)</f>
        <v/>
      </c>
      <c r="P69" s="51">
        <f>IFERROR(IF($C69&lt;&gt;"x",0,IF($M69=1,D69,IF($M69=2,G69,IF($M69=3,J69,IF(E69=IF(COUNT(E69,H69,K69)=0,0,MIN(IF(E69&gt;0,E69,1E+99),IF(H69&gt;0,H69,1E+99),IF(K69&gt;0,K69,1E+99))),D69,IF(H69=IF(COUNT(E69,H69,K69)=0,0,MIN(IF(E69&gt;0,E69,1E+99),IF(H69&gt;0,H69,1E+99),IF(K69&gt;0,K69,1E+99))),G69,J69)))))),0)</f>
        <v/>
      </c>
    </row>
    <row r="70" ht="18" customHeight="1">
      <c r="A70" s="38" t="inlineStr">
        <is>
          <t>8</t>
        </is>
      </c>
      <c r="B70" s="60" t="inlineStr">
        <is>
          <t>Carpet</t>
        </is>
      </c>
      <c r="C70" s="52">
        <f>'Scope &amp; Phases'!D70</f>
        <v/>
      </c>
      <c r="D70" s="9" t="inlineStr">
        <is>
          <t>Desert Floors</t>
        </is>
      </c>
      <c r="E70" s="22" t="n">
        <v>1925</v>
      </c>
      <c r="F70" s="53" t="n">
        <v>2</v>
      </c>
      <c r="G70" s="9" t="n"/>
      <c r="H70" s="22" t="n"/>
      <c r="I70" s="53" t="n"/>
      <c r="J70" s="9" t="n"/>
      <c r="K70" s="22" t="n"/>
      <c r="L70" s="53" t="n"/>
      <c r="M70" s="53" t="n"/>
      <c r="N70" s="54">
        <f>IFERROR(IF($C70&lt;&gt;"x",0,IF($M70=1,E70,IF($M70=2,H70,IF($M70=3,K70,IF(COUNT(E70,H70,K70)=0,0,MIN(IF(E70&gt;0,E70,1E+99),IF(H70&gt;0,H70,1E+99),IF(K70&gt;0,K70,1E+99))))))),0)</f>
        <v/>
      </c>
      <c r="O70" s="55">
        <f>IFERROR(IF($C70&lt;&gt;"x",0,IF($M70=1,F70,IF($M70=2,I70,IF($M70=3,L70,IF(E70=IF(COUNT(E70,H70,K70)=0,0,MIN(IF(E70&gt;0,E70,1E+99),IF(H70&gt;0,H70,1E+99),IF(K70&gt;0,K70,1E+99))),F70,IF(H70=IF(COUNT(E70,H70,K70)=0,0,MIN(IF(E70&gt;0,E70,1E+99),IF(H70&gt;0,H70,1E+99),IF(K70&gt;0,K70,1E+99))),I70,L70)))))),0)</f>
        <v/>
      </c>
      <c r="P70" s="90">
        <f>IFERROR(IF($C70&lt;&gt;"x",0,IF($M70=1,D70,IF($M70=2,G70,IF($M70=3,J70,IF(E70=IF(COUNT(E70,H70,K70)=0,0,MIN(IF(E70&gt;0,E70,1E+99),IF(H70&gt;0,H70,1E+99),IF(K70&gt;0,K70,1E+99))),D70,IF(H70=IF(COUNT(E70,H70,K70)=0,0,MIN(IF(E70&gt;0,E70,1E+99),IF(H70&gt;0,H70,1E+99),IF(K70&gt;0,K70,1E+99))),G70,J70)))))),0)</f>
        <v/>
      </c>
    </row>
    <row r="71" ht="18" customHeight="1">
      <c r="A71" s="38" t="inlineStr">
        <is>
          <t>8</t>
        </is>
      </c>
      <c r="B71" s="60" t="inlineStr">
        <is>
          <t>Final Clean</t>
        </is>
      </c>
      <c r="C71" s="52">
        <f>'Scope &amp; Phases'!D71</f>
        <v/>
      </c>
      <c r="D71" s="9" t="inlineStr">
        <is>
          <t>Sparkle Crew</t>
        </is>
      </c>
      <c r="E71" s="22" t="n">
        <v>625</v>
      </c>
      <c r="F71" s="53" t="n">
        <v>2</v>
      </c>
      <c r="G71" s="9" t="n"/>
      <c r="H71" s="22" t="n"/>
      <c r="I71" s="53" t="n"/>
      <c r="J71" s="9" t="n"/>
      <c r="K71" s="22" t="n"/>
      <c r="L71" s="53" t="n"/>
      <c r="M71" s="53" t="n"/>
      <c r="N71" s="54">
        <f>IFERROR(IF($C71&lt;&gt;"x",0,IF($M71=1,E71,IF($M71=2,H71,IF($M71=3,K71,IF(COUNT(E71,H71,K71)=0,0,MIN(IF(E71&gt;0,E71,1E+99),IF(H71&gt;0,H71,1E+99),IF(K71&gt;0,K71,1E+99))))))),0)</f>
        <v/>
      </c>
      <c r="O71" s="55">
        <f>IFERROR(IF($C71&lt;&gt;"x",0,IF($M71=1,F71,IF($M71=2,I71,IF($M71=3,L71,IF(E71=IF(COUNT(E71,H71,K71)=0,0,MIN(IF(E71&gt;0,E71,1E+99),IF(H71&gt;0,H71,1E+99),IF(K71&gt;0,K71,1E+99))),F71,IF(H71=IF(COUNT(E71,H71,K71)=0,0,MIN(IF(E71&gt;0,E71,1E+99),IF(H71&gt;0,H71,1E+99),IF(K71&gt;0,K71,1E+99))),I71,L71)))))),0)</f>
        <v/>
      </c>
      <c r="P71" s="90">
        <f>IFERROR(IF($C71&lt;&gt;"x",0,IF($M71=1,D71,IF($M71=2,G71,IF($M71=3,J71,IF(E71=IF(COUNT(E71,H71,K71)=0,0,MIN(IF(E71&gt;0,E71,1E+99),IF(H71&gt;0,H71,1E+99),IF(K71&gt;0,K71,1E+99))),D71,IF(H71=IF(COUNT(E71,H71,K71)=0,0,MIN(IF(E71&gt;0,E71,1E+99),IF(H71&gt;0,H71,1E+99),IF(K71&gt;0,K71,1E+99))),G71,J71)))))),0)</f>
        <v/>
      </c>
    </row>
    <row r="72" ht="18" customHeight="1">
      <c r="A72" s="38" t="inlineStr">
        <is>
          <t>8</t>
        </is>
      </c>
      <c r="B72" s="60" t="inlineStr">
        <is>
          <t>Staging</t>
        </is>
      </c>
      <c r="C72" s="52">
        <f>'Scope &amp; Phases'!D72</f>
        <v/>
      </c>
      <c r="D72" s="9" t="inlineStr">
        <is>
          <t>Staged AZ</t>
        </is>
      </c>
      <c r="E72" s="22" t="n">
        <v>2200</v>
      </c>
      <c r="F72" s="53" t="n">
        <v>2</v>
      </c>
      <c r="G72" s="9" t="n"/>
      <c r="H72" s="22" t="n"/>
      <c r="I72" s="53" t="n"/>
      <c r="J72" s="9" t="n"/>
      <c r="K72" s="22" t="n"/>
      <c r="L72" s="53" t="n"/>
      <c r="M72" s="53" t="n"/>
      <c r="N72" s="54">
        <f>IFERROR(IF($C72&lt;&gt;"x",0,IF($M72=1,E72,IF($M72=2,H72,IF($M72=3,K72,IF(COUNT(E72,H72,K72)=0,0,MIN(IF(E72&gt;0,E72,1E+99),IF(H72&gt;0,H72,1E+99),IF(K72&gt;0,K72,1E+99))))))),0)</f>
        <v/>
      </c>
      <c r="O72" s="55">
        <f>IFERROR(IF($C72&lt;&gt;"x",0,IF($M72=1,F72,IF($M72=2,I72,IF($M72=3,L72,IF(E72=IF(COUNT(E72,H72,K72)=0,0,MIN(IF(E72&gt;0,E72,1E+99),IF(H72&gt;0,H72,1E+99),IF(K72&gt;0,K72,1E+99))),F72,IF(H72=IF(COUNT(E72,H72,K72)=0,0,MIN(IF(E72&gt;0,E72,1E+99),IF(H72&gt;0,H72,1E+99),IF(K72&gt;0,K72,1E+99))),I72,L72)))))),0)</f>
        <v/>
      </c>
      <c r="P72" s="90">
        <f>IFERROR(IF($C72&lt;&gt;"x",0,IF($M72=1,D72,IF($M72=2,G72,IF($M72=3,J72,IF(E72=IF(COUNT(E72,H72,K72)=0,0,MIN(IF(E72&gt;0,E72,1E+99),IF(H72&gt;0,H72,1E+99),IF(K72&gt;0,K72,1E+99))),D72,IF(H72=IF(COUNT(E72,H72,K72)=0,0,MIN(IF(E72&gt;0,E72,1E+99),IF(H72&gt;0,H72,1E+99),IF(K72&gt;0,K72,1E+99))),G72,J72)))))),0)</f>
        <v/>
      </c>
    </row>
    <row r="73" ht="18" customHeight="1">
      <c r="A73" s="38" t="inlineStr">
        <is>
          <t>8</t>
        </is>
      </c>
      <c r="B73" s="60" t="inlineStr">
        <is>
          <t>Warranty &amp; Callback Reserve</t>
        </is>
      </c>
      <c r="C73" s="52">
        <f>'Scope &amp; Phases'!D73</f>
        <v/>
      </c>
      <c r="D73" s="9" t="inlineStr"/>
      <c r="E73" s="22" t="n">
        <v>975</v>
      </c>
      <c r="F73" s="53" t="n">
        <v>0</v>
      </c>
      <c r="G73" s="9" t="n"/>
      <c r="H73" s="22" t="n"/>
      <c r="I73" s="53" t="n"/>
      <c r="J73" s="9" t="n"/>
      <c r="K73" s="22" t="n"/>
      <c r="L73" s="53" t="n"/>
      <c r="M73" s="53" t="n"/>
      <c r="N73" s="54">
        <f>IFERROR(IF($C73&lt;&gt;"x",0,IF($M73=1,E73,IF($M73=2,H73,IF($M73=3,K73,IF(COUNT(E73,H73,K73)=0,0,MIN(IF(E73&gt;0,E73,1E+99),IF(H73&gt;0,H73,1E+99),IF(K73&gt;0,K73,1E+99))))))),0)</f>
        <v/>
      </c>
      <c r="O73" s="55">
        <f>IFERROR(IF($C73&lt;&gt;"x",0,IF($M73=1,F73,IF($M73=2,I73,IF($M73=3,L73,IF(E73=IF(COUNT(E73,H73,K73)=0,0,MIN(IF(E73&gt;0,E73,1E+99),IF(H73&gt;0,H73,1E+99),IF(K73&gt;0,K73,1E+99))),F73,IF(H73=IF(COUNT(E73,H73,K73)=0,0,MIN(IF(E73&gt;0,E73,1E+99),IF(H73&gt;0,H73,1E+99),IF(K73&gt;0,K73,1E+99))),I73,L73)))))),0)</f>
        <v/>
      </c>
      <c r="P73" s="90">
        <f>IFERROR(IF($C73&lt;&gt;"x",0,IF($M73=1,D73,IF($M73=2,G73,IF($M73=3,J73,IF(E73=IF(COUNT(E73,H73,K73)=0,0,MIN(IF(E73&gt;0,E73,1E+99),IF(H73&gt;0,H73,1E+99),IF(K73&gt;0,K73,1E+99))),D73,IF(H73=IF(COUNT(E73,H73,K73)=0,0,MIN(IF(E73&gt;0,E73,1E+99),IF(H73&gt;0,H73,1E+99),IF(K73&gt;0,K73,1E+99))),G73,J73)))))),0)</f>
        <v/>
      </c>
    </row>
  </sheetData>
  <mergeCells count="3">
    <mergeCell ref="A6:P6"/>
    <mergeCell ref="A1:P1"/>
    <mergeCell ref="A2:P2"/>
  </mergeCells>
  <conditionalFormatting sqref="A8:P73">
    <cfRule type="expression" priority="1" dxfId="3">
      <formula>$C8&lt;&gt;"x"</formula>
    </cfRule>
  </conditionalFormatting>
  <conditionalFormatting sqref="D8:F73">
    <cfRule type="expression" priority="2" dxfId="4">
      <formula>AND($C8="x",COUNT($E8,$H8,$K8)=0)</formula>
    </cfRule>
  </conditionalFormatting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H2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9" customWidth="1" min="3" max="3"/>
    <col width="16" customWidth="1" min="4" max="4"/>
    <col width="9" customWidth="1" min="5" max="5"/>
    <col width="15" customWidth="1" min="6" max="6"/>
    <col width="15" customWidth="1" min="7" max="7"/>
    <col width="12" customWidth="1" min="8" max="8"/>
  </cols>
  <sheetData>
    <row r="1" ht="38" customHeight="1">
      <c r="A1" s="1" t="inlineStr">
        <is>
          <t>Budget &amp; Schedule</t>
        </is>
      </c>
    </row>
    <row r="2" ht="20" customHeight="1">
      <c r="A2" s="3" t="inlineStr">
        <is>
          <t>Your bids, rolled up. Phases run one after another; jobs inside a phase run together.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5" ht="26" customHeight="1">
      <c r="A5" s="29" t="inlineStr">
        <is>
          <t>Total rehab budget</t>
        </is>
      </c>
      <c r="D5" s="30">
        <f>SUMIF('Scope &amp; Phases'!$D$8:$D$73,"x",'Scope &amp; Phases'!$E$8:$E$73)</f>
        <v/>
      </c>
      <c r="E5" s="31" t="n"/>
      <c r="F5" s="32" t="n"/>
    </row>
    <row r="6" ht="22" customHeight="1">
      <c r="A6" s="7" t="inlineStr">
        <is>
          <t>Cost per square foot</t>
        </is>
      </c>
      <c r="D6" s="57">
        <f>IFERROR('Budget &amp; Schedule'!$D$5/'Your Deal'!$D$9,0)</f>
        <v/>
      </c>
      <c r="E6" s="31" t="n"/>
      <c r="F6" s="32" t="n"/>
    </row>
    <row r="7" ht="22" customHeight="1">
      <c r="A7" s="7" t="inlineStr">
        <is>
          <t>Calendar days on site</t>
        </is>
      </c>
      <c r="D7" s="58">
        <f>IFERROR(MAX(G12:G25)-'Your Deal'!$D$31+1,0)</f>
        <v/>
      </c>
      <c r="E7" s="31" t="n"/>
      <c r="F7" s="32" t="n"/>
    </row>
    <row r="8" ht="22" customHeight="1">
      <c r="A8" s="7" t="inlineStr">
        <is>
          <t>Months of carry</t>
        </is>
      </c>
      <c r="D8" s="59">
        <f>IFERROR('Budget &amp; Schedule'!$D$7/30.44,0)</f>
        <v/>
      </c>
      <c r="E8" s="31" t="n"/>
      <c r="F8" s="32" t="n"/>
    </row>
    <row r="11" ht="26" customHeight="1">
      <c r="A11" s="19" t="inlineStr">
        <is>
          <t>Ph</t>
        </is>
      </c>
      <c r="B11" s="19" t="inlineStr">
        <is>
          <t>Phase</t>
        </is>
      </c>
      <c r="C11" s="19" t="inlineStr">
        <is>
          <t>Jobs</t>
        </is>
      </c>
      <c r="D11" s="19" t="inlineStr">
        <is>
          <t>Budget</t>
        </is>
      </c>
      <c r="E11" s="19" t="inlineStr">
        <is>
          <t>Days</t>
        </is>
      </c>
      <c r="F11" s="19" t="inlineStr">
        <is>
          <t>Starts</t>
        </is>
      </c>
      <c r="G11" s="19" t="inlineStr">
        <is>
          <t>Finishes</t>
        </is>
      </c>
    </row>
    <row r="12" ht="20" customHeight="1">
      <c r="A12" s="38" t="inlineStr">
        <is>
          <t>A</t>
        </is>
      </c>
      <c r="B12" s="60" t="inlineStr">
        <is>
          <t>Pre-Construction &amp; General Conditions</t>
        </is>
      </c>
      <c r="C12" s="52">
        <f>COUNTIFS('Scope &amp; Phases'!$A$8:$A$73,"A",'Scope &amp; Phases'!$D$8:$D$73,"x")</f>
        <v/>
      </c>
      <c r="D12" s="41">
        <f>SUMIFS('Scope &amp; Phases'!$E$8:$E$73,'Scope &amp; Phases'!$A$8:$A$73,"A",'Scope &amp; Phases'!$D$8:$D$73,"x")</f>
        <v/>
      </c>
      <c r="E12" s="55">
        <f>IFERROR(SUMIFS('Scope &amp; Phases'!$F$8:$F$73,'Scope &amp; Phases'!$A$8:$A$73,"A",'Scope &amp; Phases'!$D$8:$D$73,"x"),0)</f>
        <v/>
      </c>
      <c r="F12" s="61">
        <f>'Your Deal'!$D$31</f>
        <v/>
      </c>
      <c r="G12" s="61">
        <f>IF(E12=0,F12-1,F12+E12-1)</f>
        <v/>
      </c>
    </row>
    <row r="13" ht="20" customHeight="1">
      <c r="A13" s="38" t="inlineStr">
        <is>
          <t>1</t>
        </is>
      </c>
      <c r="B13" s="60" t="inlineStr">
        <is>
          <t>Demolition, Foundation &amp; Underground</t>
        </is>
      </c>
      <c r="C13" s="52">
        <f>COUNTIFS('Scope &amp; Phases'!$A$8:$A$73,"1",'Scope &amp; Phases'!$D$8:$D$73,"x")</f>
        <v/>
      </c>
      <c r="D13" s="41">
        <f>SUMIFS('Scope &amp; Phases'!$E$8:$E$73,'Scope &amp; Phases'!$A$8:$A$73,"1",'Scope &amp; Phases'!$D$8:$D$73,"x")</f>
        <v/>
      </c>
      <c r="E13" s="55">
        <f>IFERROR(SUMIFS('Scope &amp; Phases'!$F$8:$F$73,'Scope &amp; Phases'!$A$8:$A$73,"1",'Scope &amp; Phases'!$D$8:$D$73,"x"),0)</f>
        <v/>
      </c>
      <c r="F13" s="61">
        <f>G12+1</f>
        <v/>
      </c>
      <c r="G13" s="61">
        <f>IF(E13=0,F13-1,F13+E13-1)</f>
        <v/>
      </c>
    </row>
    <row r="14" ht="20" customHeight="1">
      <c r="A14" s="38" t="inlineStr">
        <is>
          <t>2</t>
        </is>
      </c>
      <c r="B14" s="60" t="inlineStr">
        <is>
          <t>Framing, Roofing &amp; Rough MEP</t>
        </is>
      </c>
      <c r="C14" s="52">
        <f>COUNTIFS('Scope &amp; Phases'!$A$8:$A$73,"2",'Scope &amp; Phases'!$D$8:$D$73,"x")</f>
        <v/>
      </c>
      <c r="D14" s="41">
        <f>SUMIFS('Scope &amp; Phases'!$E$8:$E$73,'Scope &amp; Phases'!$A$8:$A$73,"2",'Scope &amp; Phases'!$D$8:$D$73,"x")</f>
        <v/>
      </c>
      <c r="E14" s="55">
        <f>IFERROR(SUMIFS('Scope &amp; Phases'!$F$8:$F$73,'Scope &amp; Phases'!$A$8:$A$73,"2",'Scope &amp; Phases'!$D$8:$D$73,"x"),0)</f>
        <v/>
      </c>
      <c r="F14" s="61">
        <f>G13+1</f>
        <v/>
      </c>
      <c r="G14" s="61">
        <f>IF(E14=0,F14-1,F14+E14-1)</f>
        <v/>
      </c>
    </row>
    <row r="15" ht="20" customHeight="1">
      <c r="A15" s="38" t="inlineStr">
        <is>
          <t>3</t>
        </is>
      </c>
      <c r="B15" s="60" t="inlineStr">
        <is>
          <t>Insulation, Drywall, Doors, Trim &amp; Paint</t>
        </is>
      </c>
      <c r="C15" s="52">
        <f>COUNTIFS('Scope &amp; Phases'!$A$8:$A$73,"3",'Scope &amp; Phases'!$D$8:$D$73,"x")</f>
        <v/>
      </c>
      <c r="D15" s="41">
        <f>SUMIFS('Scope &amp; Phases'!$E$8:$E$73,'Scope &amp; Phases'!$A$8:$A$73,"3",'Scope &amp; Phases'!$D$8:$D$73,"x")</f>
        <v/>
      </c>
      <c r="E15" s="55">
        <f>IFERROR(SUMIFS('Scope &amp; Phases'!$F$8:$F$73,'Scope &amp; Phases'!$A$8:$A$73,"3",'Scope &amp; Phases'!$D$8:$D$73,"x"),0)</f>
        <v/>
      </c>
      <c r="F15" s="61">
        <f>G14+1</f>
        <v/>
      </c>
      <c r="G15" s="61">
        <f>IF(E15=0,F15-1,F15+E15-1)</f>
        <v/>
      </c>
    </row>
    <row r="16" ht="20" customHeight="1">
      <c r="A16" s="38" t="inlineStr">
        <is>
          <t>4</t>
        </is>
      </c>
      <c r="B16" s="60" t="inlineStr">
        <is>
          <t>Cabinets &amp; Countertops</t>
        </is>
      </c>
      <c r="C16" s="52">
        <f>COUNTIFS('Scope &amp; Phases'!$A$8:$A$73,"4",'Scope &amp; Phases'!$D$8:$D$73,"x")</f>
        <v/>
      </c>
      <c r="D16" s="41">
        <f>SUMIFS('Scope &amp; Phases'!$E$8:$E$73,'Scope &amp; Phases'!$A$8:$A$73,"4",'Scope &amp; Phases'!$D$8:$D$73,"x")</f>
        <v/>
      </c>
      <c r="E16" s="55">
        <f>IFERROR(SUMIFS('Scope &amp; Phases'!$F$8:$F$73,'Scope &amp; Phases'!$A$8:$A$73,"4",'Scope &amp; Phases'!$D$8:$D$73,"x"),0)</f>
        <v/>
      </c>
      <c r="F16" s="61">
        <f>G15+1</f>
        <v/>
      </c>
      <c r="G16" s="61">
        <f>IF(E16=0,F16-1,F16+E16-1)</f>
        <v/>
      </c>
    </row>
    <row r="17" ht="20" customHeight="1">
      <c r="A17" s="38" t="inlineStr">
        <is>
          <t>5</t>
        </is>
      </c>
      <c r="B17" s="60" t="inlineStr">
        <is>
          <t>Tile &amp; Flooring</t>
        </is>
      </c>
      <c r="C17" s="52">
        <f>COUNTIFS('Scope &amp; Phases'!$A$8:$A$73,"5",'Scope &amp; Phases'!$D$8:$D$73,"x")</f>
        <v/>
      </c>
      <c r="D17" s="41">
        <f>SUMIFS('Scope &amp; Phases'!$E$8:$E$73,'Scope &amp; Phases'!$A$8:$A$73,"5",'Scope &amp; Phases'!$D$8:$D$73,"x")</f>
        <v/>
      </c>
      <c r="E17" s="55">
        <f>IFERROR(SUMIFS('Scope &amp; Phases'!$F$8:$F$73,'Scope &amp; Phases'!$A$8:$A$73,"5",'Scope &amp; Phases'!$D$8:$D$73,"x"),0)</f>
        <v/>
      </c>
      <c r="F17" s="61">
        <f>G16+1</f>
        <v/>
      </c>
      <c r="G17" s="61">
        <f>IF(E17=0,F17-1,F17+E17-1)</f>
        <v/>
      </c>
    </row>
    <row r="18" ht="20" customHeight="1">
      <c r="A18" s="38" t="inlineStr">
        <is>
          <t>6</t>
        </is>
      </c>
      <c r="B18" s="60" t="inlineStr">
        <is>
          <t>Exterior &amp; Landscaping</t>
        </is>
      </c>
      <c r="C18" s="52">
        <f>COUNTIFS('Scope &amp; Phases'!$A$8:$A$73,"6",'Scope &amp; Phases'!$D$8:$D$73,"x")</f>
        <v/>
      </c>
      <c r="D18" s="41">
        <f>SUMIFS('Scope &amp; Phases'!$E$8:$E$73,'Scope &amp; Phases'!$A$8:$A$73,"6",'Scope &amp; Phases'!$D$8:$D$73,"x")</f>
        <v/>
      </c>
      <c r="E18" s="55">
        <f>IFERROR(SUMIFS('Scope &amp; Phases'!$F$8:$F$73,'Scope &amp; Phases'!$A$8:$A$73,"6",'Scope &amp; Phases'!$D$8:$D$73,"x"),0)</f>
        <v/>
      </c>
      <c r="F18" s="61">
        <f>G17+1</f>
        <v/>
      </c>
      <c r="G18" s="61">
        <f>IF(E18=0,F18-1,F18+E18-1)</f>
        <v/>
      </c>
    </row>
    <row r="19" ht="20" customHeight="1">
      <c r="A19" s="38" t="inlineStr">
        <is>
          <t>7</t>
        </is>
      </c>
      <c r="B19" s="60" t="inlineStr">
        <is>
          <t>MEP Finishes, Glass &amp; Appliances</t>
        </is>
      </c>
      <c r="C19" s="52">
        <f>COUNTIFS('Scope &amp; Phases'!$A$8:$A$73,"7",'Scope &amp; Phases'!$D$8:$D$73,"x")</f>
        <v/>
      </c>
      <c r="D19" s="41">
        <f>SUMIFS('Scope &amp; Phases'!$E$8:$E$73,'Scope &amp; Phases'!$A$8:$A$73,"7",'Scope &amp; Phases'!$D$8:$D$73,"x")</f>
        <v/>
      </c>
      <c r="E19" s="55">
        <f>IFERROR(SUMIFS('Scope &amp; Phases'!$F$8:$F$73,'Scope &amp; Phases'!$A$8:$A$73,"7",'Scope &amp; Phases'!$D$8:$D$73,"x"),0)</f>
        <v/>
      </c>
      <c r="F19" s="61">
        <f>G18+1</f>
        <v/>
      </c>
      <c r="G19" s="61">
        <f>IF(E19=0,F19-1,F19+E19-1)</f>
        <v/>
      </c>
    </row>
    <row r="20" ht="20" customHeight="1">
      <c r="A20" s="38" t="inlineStr">
        <is>
          <t>8</t>
        </is>
      </c>
      <c r="B20" s="60" t="inlineStr">
        <is>
          <t>Punch, Carpet &amp; Final Clean</t>
        </is>
      </c>
      <c r="C20" s="52">
        <f>COUNTIFS('Scope &amp; Phases'!$A$8:$A$73,"8",'Scope &amp; Phases'!$D$8:$D$73,"x")</f>
        <v/>
      </c>
      <c r="D20" s="41">
        <f>SUMIFS('Scope &amp; Phases'!$E$8:$E$73,'Scope &amp; Phases'!$A$8:$A$73,"8",'Scope &amp; Phases'!$D$8:$D$73,"x")</f>
        <v/>
      </c>
      <c r="E20" s="55">
        <f>IFERROR(SUMIFS('Scope &amp; Phases'!$F$8:$F$73,'Scope &amp; Phases'!$A$8:$A$73,"8",'Scope &amp; Phases'!$D$8:$D$73,"x"),0)</f>
        <v/>
      </c>
      <c r="F20" s="61">
        <f>G19+1</f>
        <v/>
      </c>
      <c r="G20" s="61">
        <f>IF(E20=0,F20-1,F20+E20-1)</f>
        <v/>
      </c>
    </row>
    <row r="21">
      <c r="B21" s="62" t="inlineStr">
        <is>
          <t>TOTAL</t>
        </is>
      </c>
      <c r="C21" s="63">
        <f>COUNTIF('Scope &amp; Phases'!$D$8:$D$73,"x")</f>
        <v/>
      </c>
      <c r="D21" s="64">
        <f>SUM(D12:D20)</f>
        <v/>
      </c>
      <c r="E21" s="65" t="n"/>
      <c r="F21" s="65" t="n"/>
      <c r="G21" s="66">
        <f>MAX(G12:G20)</f>
        <v/>
      </c>
    </row>
    <row r="23" ht="16" customHeight="1">
      <c r="A23" s="17" t="inlineStr">
        <is>
          <t>A phase takes as long as its jobs added together. On a house this size one trade works at a time.</t>
        </is>
      </c>
    </row>
    <row r="24" ht="16" customHeight="1">
      <c r="A24" s="17" t="inlineStr">
        <is>
          <t>Days come from what each sub quoted on the Bid Comparison sheet — they are calendar days, not working days.</t>
        </is>
      </c>
    </row>
  </sheetData>
  <mergeCells count="12">
    <mergeCell ref="A23:H23"/>
    <mergeCell ref="D5:F5"/>
    <mergeCell ref="A5:C5"/>
    <mergeCell ref="D8:F8"/>
    <mergeCell ref="A24:H24"/>
    <mergeCell ref="A2:H2"/>
    <mergeCell ref="A8:C8"/>
    <mergeCell ref="A6:C6"/>
    <mergeCell ref="A1:H1"/>
    <mergeCell ref="D7:F7"/>
    <mergeCell ref="A7:C7"/>
    <mergeCell ref="D6:F6"/>
  </mergeCells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G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</cols>
  <sheetData>
    <row r="1" ht="38" customHeight="1">
      <c r="A1" s="1" t="inlineStr">
        <is>
          <t>Draw Schedule</t>
        </is>
      </c>
    </row>
    <row r="2" ht="20" customHeight="1">
      <c r="A2" s="3" t="inlineStr">
        <is>
          <t>One draw per phase. Request when the phase finishes; the money lands later.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</row>
    <row r="6" ht="16" customHeight="1">
      <c r="A6" s="17" t="inlineStr">
        <is>
          <t>The gap between 'Request on' and 'Funded on' is the number of days you told us your lender takes.</t>
        </is>
      </c>
    </row>
    <row r="8" ht="26" customHeight="1">
      <c r="A8" s="19" t="inlineStr">
        <is>
          <t>Draw</t>
        </is>
      </c>
      <c r="B8" s="19" t="inlineStr">
        <is>
          <t>Phase</t>
        </is>
      </c>
      <c r="C8" s="19" t="inlineStr">
        <is>
          <t>Phase budget</t>
        </is>
      </c>
      <c r="D8" s="19" t="inlineStr">
        <is>
          <t>Holdback</t>
        </is>
      </c>
      <c r="E8" s="19" t="inlineStr">
        <is>
          <t>You receive</t>
        </is>
      </c>
      <c r="F8" s="19" t="inlineStr">
        <is>
          <t>Request on</t>
        </is>
      </c>
      <c r="G8" s="19" t="inlineStr">
        <is>
          <t>Funded on</t>
        </is>
      </c>
    </row>
    <row r="9" ht="20" customHeight="1">
      <c r="A9" s="52" t="n">
        <v>1</v>
      </c>
      <c r="B9" s="90">
        <f>'Budget &amp; Schedule'!B12</f>
        <v/>
      </c>
      <c r="C9" s="41">
        <f>'Budget &amp; Schedule'!D12</f>
        <v/>
      </c>
      <c r="D9" s="41">
        <f>-C9*'Your Deal'!$D$35</f>
        <v/>
      </c>
      <c r="E9" s="68">
        <f>C9+D9</f>
        <v/>
      </c>
      <c r="F9" s="61">
        <f>'Budget &amp; Schedule'!G12</f>
        <v/>
      </c>
      <c r="G9" s="61">
        <f>IF(C9=0,"",F9+'Your Deal'!$D$24)</f>
        <v/>
      </c>
    </row>
    <row r="10" ht="20" customHeight="1">
      <c r="A10" s="52" t="n">
        <v>2</v>
      </c>
      <c r="B10" s="90">
        <f>'Budget &amp; Schedule'!B13</f>
        <v/>
      </c>
      <c r="C10" s="41">
        <f>'Budget &amp; Schedule'!D13</f>
        <v/>
      </c>
      <c r="D10" s="41">
        <f>-C10*'Your Deal'!$D$35</f>
        <v/>
      </c>
      <c r="E10" s="68">
        <f>C10+D10</f>
        <v/>
      </c>
      <c r="F10" s="61">
        <f>'Budget &amp; Schedule'!G13</f>
        <v/>
      </c>
      <c r="G10" s="61">
        <f>IF(C10=0,"",F10+'Your Deal'!$D$24)</f>
        <v/>
      </c>
    </row>
    <row r="11" ht="20" customHeight="1">
      <c r="A11" s="52" t="n">
        <v>3</v>
      </c>
      <c r="B11" s="90">
        <f>'Budget &amp; Schedule'!B14</f>
        <v/>
      </c>
      <c r="C11" s="41">
        <f>'Budget &amp; Schedule'!D14</f>
        <v/>
      </c>
      <c r="D11" s="41">
        <f>-C11*'Your Deal'!$D$35</f>
        <v/>
      </c>
      <c r="E11" s="68">
        <f>C11+D11</f>
        <v/>
      </c>
      <c r="F11" s="61">
        <f>'Budget &amp; Schedule'!G14</f>
        <v/>
      </c>
      <c r="G11" s="61">
        <f>IF(C11=0,"",F11+'Your Deal'!$D$24)</f>
        <v/>
      </c>
    </row>
    <row r="12" ht="20" customHeight="1">
      <c r="A12" s="52" t="n">
        <v>4</v>
      </c>
      <c r="B12" s="90">
        <f>'Budget &amp; Schedule'!B15</f>
        <v/>
      </c>
      <c r="C12" s="41">
        <f>'Budget &amp; Schedule'!D15</f>
        <v/>
      </c>
      <c r="D12" s="41">
        <f>-C12*'Your Deal'!$D$35</f>
        <v/>
      </c>
      <c r="E12" s="68">
        <f>C12+D12</f>
        <v/>
      </c>
      <c r="F12" s="61">
        <f>'Budget &amp; Schedule'!G15</f>
        <v/>
      </c>
      <c r="G12" s="61">
        <f>IF(C12=0,"",F12+'Your Deal'!$D$24)</f>
        <v/>
      </c>
    </row>
    <row r="13" ht="20" customHeight="1">
      <c r="A13" s="52" t="n">
        <v>5</v>
      </c>
      <c r="B13" s="90">
        <f>'Budget &amp; Schedule'!B16</f>
        <v/>
      </c>
      <c r="C13" s="41">
        <f>'Budget &amp; Schedule'!D16</f>
        <v/>
      </c>
      <c r="D13" s="41">
        <f>-C13*'Your Deal'!$D$35</f>
        <v/>
      </c>
      <c r="E13" s="68">
        <f>C13+D13</f>
        <v/>
      </c>
      <c r="F13" s="61">
        <f>'Budget &amp; Schedule'!G16</f>
        <v/>
      </c>
      <c r="G13" s="61">
        <f>IF(C13=0,"",F13+'Your Deal'!$D$24)</f>
        <v/>
      </c>
    </row>
    <row r="14" ht="20" customHeight="1">
      <c r="A14" s="52" t="n">
        <v>6</v>
      </c>
      <c r="B14" s="90">
        <f>'Budget &amp; Schedule'!B17</f>
        <v/>
      </c>
      <c r="C14" s="41">
        <f>'Budget &amp; Schedule'!D17</f>
        <v/>
      </c>
      <c r="D14" s="41">
        <f>-C14*'Your Deal'!$D$35</f>
        <v/>
      </c>
      <c r="E14" s="68">
        <f>C14+D14</f>
        <v/>
      </c>
      <c r="F14" s="61">
        <f>'Budget &amp; Schedule'!G17</f>
        <v/>
      </c>
      <c r="G14" s="61">
        <f>IF(C14=0,"",F14+'Your Deal'!$D$24)</f>
        <v/>
      </c>
    </row>
    <row r="15" ht="20" customHeight="1">
      <c r="A15" s="52" t="n">
        <v>7</v>
      </c>
      <c r="B15" s="90">
        <f>'Budget &amp; Schedule'!B18</f>
        <v/>
      </c>
      <c r="C15" s="41">
        <f>'Budget &amp; Schedule'!D18</f>
        <v/>
      </c>
      <c r="D15" s="41">
        <f>-C15*'Your Deal'!$D$35</f>
        <v/>
      </c>
      <c r="E15" s="68">
        <f>C15+D15</f>
        <v/>
      </c>
      <c r="F15" s="61">
        <f>'Budget &amp; Schedule'!G18</f>
        <v/>
      </c>
      <c r="G15" s="61">
        <f>IF(C15=0,"",F15+'Your Deal'!$D$24)</f>
        <v/>
      </c>
    </row>
    <row r="16" ht="20" customHeight="1">
      <c r="A16" s="52" t="n">
        <v>8</v>
      </c>
      <c r="B16" s="90">
        <f>'Budget &amp; Schedule'!B19</f>
        <v/>
      </c>
      <c r="C16" s="41">
        <f>'Budget &amp; Schedule'!D19</f>
        <v/>
      </c>
      <c r="D16" s="41">
        <f>-C16*'Your Deal'!$D$35</f>
        <v/>
      </c>
      <c r="E16" s="68">
        <f>C16+D16</f>
        <v/>
      </c>
      <c r="F16" s="61">
        <f>'Budget &amp; Schedule'!G19</f>
        <v/>
      </c>
      <c r="G16" s="61">
        <f>IF(C16=0,"",F16+'Your Deal'!$D$24)</f>
        <v/>
      </c>
    </row>
    <row r="17" ht="20" customHeight="1">
      <c r="A17" s="52" t="n">
        <v>9</v>
      </c>
      <c r="B17" s="90">
        <f>'Budget &amp; Schedule'!B20</f>
        <v/>
      </c>
      <c r="C17" s="41">
        <f>'Budget &amp; Schedule'!D20</f>
        <v/>
      </c>
      <c r="D17" s="41">
        <f>-C17*'Your Deal'!$D$35</f>
        <v/>
      </c>
      <c r="E17" s="68">
        <f>C17+D17</f>
        <v/>
      </c>
      <c r="F17" s="61">
        <f>'Budget &amp; Schedule'!G20</f>
        <v/>
      </c>
      <c r="G17" s="61">
        <f>IF(C17=0,"",F17+'Your Deal'!$D$24)</f>
        <v/>
      </c>
    </row>
    <row r="18">
      <c r="B18" s="24" t="inlineStr">
        <is>
          <t>TOTAL</t>
        </is>
      </c>
      <c r="C18" s="69">
        <f>SUM(C9:C17)</f>
        <v/>
      </c>
      <c r="D18" s="69">
        <f>SUM(D9:D17)</f>
        <v/>
      </c>
      <c r="E18" s="69">
        <f>SUM(E9:E17)</f>
        <v/>
      </c>
    </row>
    <row r="20" ht="16" customHeight="1">
      <c r="A20" s="17" t="inlineStr">
        <is>
          <t>Holdback is released at completion. Until then it is money you have spent and not been paid for.</t>
        </is>
      </c>
    </row>
  </sheetData>
  <mergeCells count="4">
    <mergeCell ref="A20:G20"/>
    <mergeCell ref="A2:G2"/>
    <mergeCell ref="A6:G6"/>
    <mergeCell ref="A1:G1"/>
  </mergeCells>
  <pageMargins left="0.4" right="0.4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8853F"/>
    <outlinePr summaryBelow="1" summaryRight="1"/>
    <pageSetUpPr fitToPage="1"/>
  </sheetPr>
  <dimension ref="A1:H2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</cols>
  <sheetData>
    <row r="1" ht="38" customHeight="1">
      <c r="A1" s="1" t="inlineStr">
        <is>
          <t>Cash &amp; Float</t>
        </is>
      </c>
    </row>
    <row r="2" ht="20" customHeight="1">
      <c r="A2" s="3" t="inlineStr">
        <is>
          <t>What this job costs you to carry between paying subs and getting funded.</t>
        </is>
      </c>
    </row>
    <row r="3" ht="4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6" ht="16" customHeight="1">
      <c r="A6" s="17" t="inlineStr">
        <is>
          <t>You pay a deposit when a phase starts and the balance when it finishes. The draw arrives days after that.</t>
        </is>
      </c>
    </row>
    <row r="9" ht="26" customHeight="1">
      <c r="A9" s="19" t="inlineStr">
        <is>
          <t>Ph</t>
        </is>
      </c>
      <c r="B9" s="19" t="inlineStr">
        <is>
          <t>Phase</t>
        </is>
      </c>
      <c r="C9" s="19" t="inlineStr">
        <is>
          <t>Deposit out</t>
        </is>
      </c>
      <c r="D9" s="19" t="inlineStr">
        <is>
          <t>Balance out</t>
        </is>
      </c>
      <c r="E9" s="19" t="inlineStr">
        <is>
          <t>Draw in</t>
        </is>
      </c>
      <c r="F9" s="19" t="inlineStr">
        <is>
          <t>On this date</t>
        </is>
      </c>
      <c r="G9" s="19" t="inlineStr">
        <is>
          <t>Cash position</t>
        </is>
      </c>
    </row>
    <row r="10" ht="20" customHeight="1">
      <c r="A10" s="52" t="inlineStr">
        <is>
          <t>A</t>
        </is>
      </c>
      <c r="B10" s="90">
        <f>'Budget &amp; Schedule'!B12</f>
        <v/>
      </c>
      <c r="C10" s="41">
        <f>-'Budget &amp; Schedule'!D12*'Your Deal'!$D$33</f>
        <v/>
      </c>
      <c r="D10" s="41">
        <f>-'Budget &amp; Schedule'!D12*(1-'Your Deal'!$D$33)</f>
        <v/>
      </c>
      <c r="E10" s="41">
        <f>'Draw Schedule'!E9</f>
        <v/>
      </c>
      <c r="F10" s="61">
        <f>'Budget &amp; Schedule'!G12</f>
        <v/>
      </c>
      <c r="G10" s="41">
        <f>'Your Deal'!$D$26+SUMIF($F$10:$F$18,"&lt;="&amp;$F10,$C$10:$C$18)+SUMIF($F$10:$F$18,"&lt;="&amp;$F10,$D$10:$D$18)+SUMIF('Draw Schedule'!$G$9:$G$17,"&lt;="&amp;$F10,'Draw Schedule'!$E$9:$E$17)</f>
        <v/>
      </c>
    </row>
    <row r="11" ht="20" customHeight="1">
      <c r="A11" s="52" t="inlineStr">
        <is>
          <t>1</t>
        </is>
      </c>
      <c r="B11" s="90">
        <f>'Budget &amp; Schedule'!B13</f>
        <v/>
      </c>
      <c r="C11" s="41">
        <f>-'Budget &amp; Schedule'!D13*'Your Deal'!$D$33</f>
        <v/>
      </c>
      <c r="D11" s="41">
        <f>-'Budget &amp; Schedule'!D13*(1-'Your Deal'!$D$33)</f>
        <v/>
      </c>
      <c r="E11" s="41">
        <f>'Draw Schedule'!E10</f>
        <v/>
      </c>
      <c r="F11" s="61">
        <f>'Budget &amp; Schedule'!G13</f>
        <v/>
      </c>
      <c r="G11" s="41">
        <f>'Your Deal'!$D$26+SUMIF($F$10:$F$18,"&lt;="&amp;$F11,$C$10:$C$18)+SUMIF($F$10:$F$18,"&lt;="&amp;$F11,$D$10:$D$18)+SUMIF('Draw Schedule'!$G$9:$G$17,"&lt;="&amp;$F11,'Draw Schedule'!$E$9:$E$17)</f>
        <v/>
      </c>
    </row>
    <row r="12" ht="20" customHeight="1">
      <c r="A12" s="52" t="inlineStr">
        <is>
          <t>2</t>
        </is>
      </c>
      <c r="B12" s="90">
        <f>'Budget &amp; Schedule'!B14</f>
        <v/>
      </c>
      <c r="C12" s="41">
        <f>-'Budget &amp; Schedule'!D14*'Your Deal'!$D$33</f>
        <v/>
      </c>
      <c r="D12" s="41">
        <f>-'Budget &amp; Schedule'!D14*(1-'Your Deal'!$D$33)</f>
        <v/>
      </c>
      <c r="E12" s="41">
        <f>'Draw Schedule'!E11</f>
        <v/>
      </c>
      <c r="F12" s="61">
        <f>'Budget &amp; Schedule'!G14</f>
        <v/>
      </c>
      <c r="G12" s="41">
        <f>'Your Deal'!$D$26+SUMIF($F$10:$F$18,"&lt;="&amp;$F12,$C$10:$C$18)+SUMIF($F$10:$F$18,"&lt;="&amp;$F12,$D$10:$D$18)+SUMIF('Draw Schedule'!$G$9:$G$17,"&lt;="&amp;$F12,'Draw Schedule'!$E$9:$E$17)</f>
        <v/>
      </c>
    </row>
    <row r="13" ht="20" customHeight="1">
      <c r="A13" s="52" t="inlineStr">
        <is>
          <t>3</t>
        </is>
      </c>
      <c r="B13" s="90">
        <f>'Budget &amp; Schedule'!B15</f>
        <v/>
      </c>
      <c r="C13" s="41">
        <f>-'Budget &amp; Schedule'!D15*'Your Deal'!$D$33</f>
        <v/>
      </c>
      <c r="D13" s="41">
        <f>-'Budget &amp; Schedule'!D15*(1-'Your Deal'!$D$33)</f>
        <v/>
      </c>
      <c r="E13" s="41">
        <f>'Draw Schedule'!E12</f>
        <v/>
      </c>
      <c r="F13" s="61">
        <f>'Budget &amp; Schedule'!G15</f>
        <v/>
      </c>
      <c r="G13" s="41">
        <f>'Your Deal'!$D$26+SUMIF($F$10:$F$18,"&lt;="&amp;$F13,$C$10:$C$18)+SUMIF($F$10:$F$18,"&lt;="&amp;$F13,$D$10:$D$18)+SUMIF('Draw Schedule'!$G$9:$G$17,"&lt;="&amp;$F13,'Draw Schedule'!$E$9:$E$17)</f>
        <v/>
      </c>
    </row>
    <row r="14" ht="20" customHeight="1">
      <c r="A14" s="52" t="inlineStr">
        <is>
          <t>4</t>
        </is>
      </c>
      <c r="B14" s="90">
        <f>'Budget &amp; Schedule'!B16</f>
        <v/>
      </c>
      <c r="C14" s="41">
        <f>-'Budget &amp; Schedule'!D16*'Your Deal'!$D$33</f>
        <v/>
      </c>
      <c r="D14" s="41">
        <f>-'Budget &amp; Schedule'!D16*(1-'Your Deal'!$D$33)</f>
        <v/>
      </c>
      <c r="E14" s="41">
        <f>'Draw Schedule'!E13</f>
        <v/>
      </c>
      <c r="F14" s="61">
        <f>'Budget &amp; Schedule'!G16</f>
        <v/>
      </c>
      <c r="G14" s="41">
        <f>'Your Deal'!$D$26+SUMIF($F$10:$F$18,"&lt;="&amp;$F14,$C$10:$C$18)+SUMIF($F$10:$F$18,"&lt;="&amp;$F14,$D$10:$D$18)+SUMIF('Draw Schedule'!$G$9:$G$17,"&lt;="&amp;$F14,'Draw Schedule'!$E$9:$E$17)</f>
        <v/>
      </c>
    </row>
    <row r="15" ht="20" customHeight="1">
      <c r="A15" s="52" t="inlineStr">
        <is>
          <t>5</t>
        </is>
      </c>
      <c r="B15" s="90">
        <f>'Budget &amp; Schedule'!B17</f>
        <v/>
      </c>
      <c r="C15" s="41">
        <f>-'Budget &amp; Schedule'!D17*'Your Deal'!$D$33</f>
        <v/>
      </c>
      <c r="D15" s="41">
        <f>-'Budget &amp; Schedule'!D17*(1-'Your Deal'!$D$33)</f>
        <v/>
      </c>
      <c r="E15" s="41">
        <f>'Draw Schedule'!E14</f>
        <v/>
      </c>
      <c r="F15" s="61">
        <f>'Budget &amp; Schedule'!G17</f>
        <v/>
      </c>
      <c r="G15" s="41">
        <f>'Your Deal'!$D$26+SUMIF($F$10:$F$18,"&lt;="&amp;$F15,$C$10:$C$18)+SUMIF($F$10:$F$18,"&lt;="&amp;$F15,$D$10:$D$18)+SUMIF('Draw Schedule'!$G$9:$G$17,"&lt;="&amp;$F15,'Draw Schedule'!$E$9:$E$17)</f>
        <v/>
      </c>
    </row>
    <row r="16" ht="20" customHeight="1">
      <c r="A16" s="52" t="inlineStr">
        <is>
          <t>6</t>
        </is>
      </c>
      <c r="B16" s="90">
        <f>'Budget &amp; Schedule'!B18</f>
        <v/>
      </c>
      <c r="C16" s="41">
        <f>-'Budget &amp; Schedule'!D18*'Your Deal'!$D$33</f>
        <v/>
      </c>
      <c r="D16" s="41">
        <f>-'Budget &amp; Schedule'!D18*(1-'Your Deal'!$D$33)</f>
        <v/>
      </c>
      <c r="E16" s="41">
        <f>'Draw Schedule'!E15</f>
        <v/>
      </c>
      <c r="F16" s="61">
        <f>'Budget &amp; Schedule'!G18</f>
        <v/>
      </c>
      <c r="G16" s="41">
        <f>'Your Deal'!$D$26+SUMIF($F$10:$F$18,"&lt;="&amp;$F16,$C$10:$C$18)+SUMIF($F$10:$F$18,"&lt;="&amp;$F16,$D$10:$D$18)+SUMIF('Draw Schedule'!$G$9:$G$17,"&lt;="&amp;$F16,'Draw Schedule'!$E$9:$E$17)</f>
        <v/>
      </c>
    </row>
    <row r="17" ht="20" customHeight="1">
      <c r="A17" s="52" t="inlineStr">
        <is>
          <t>7</t>
        </is>
      </c>
      <c r="B17" s="90">
        <f>'Budget &amp; Schedule'!B19</f>
        <v/>
      </c>
      <c r="C17" s="41">
        <f>-'Budget &amp; Schedule'!D19*'Your Deal'!$D$33</f>
        <v/>
      </c>
      <c r="D17" s="41">
        <f>-'Budget &amp; Schedule'!D19*(1-'Your Deal'!$D$33)</f>
        <v/>
      </c>
      <c r="E17" s="41">
        <f>'Draw Schedule'!E16</f>
        <v/>
      </c>
      <c r="F17" s="61">
        <f>'Budget &amp; Schedule'!G19</f>
        <v/>
      </c>
      <c r="G17" s="41">
        <f>'Your Deal'!$D$26+SUMIF($F$10:$F$18,"&lt;="&amp;$F17,$C$10:$C$18)+SUMIF($F$10:$F$18,"&lt;="&amp;$F17,$D$10:$D$18)+SUMIF('Draw Schedule'!$G$9:$G$17,"&lt;="&amp;$F17,'Draw Schedule'!$E$9:$E$17)</f>
        <v/>
      </c>
    </row>
    <row r="18" ht="20" customHeight="1">
      <c r="A18" s="52" t="inlineStr">
        <is>
          <t>8</t>
        </is>
      </c>
      <c r="B18" s="90">
        <f>'Budget &amp; Schedule'!B20</f>
        <v/>
      </c>
      <c r="C18" s="41">
        <f>-'Budget &amp; Schedule'!D20*'Your Deal'!$D$33</f>
        <v/>
      </c>
      <c r="D18" s="41">
        <f>-'Budget &amp; Schedule'!D20*(1-'Your Deal'!$D$33)</f>
        <v/>
      </c>
      <c r="E18" s="41">
        <f>'Draw Schedule'!E17</f>
        <v/>
      </c>
      <c r="F18" s="61">
        <f>'Budget &amp; Schedule'!G20</f>
        <v/>
      </c>
      <c r="G18" s="41">
        <f>'Your Deal'!$D$26+SUMIF($F$10:$F$18,"&lt;="&amp;$F18,$C$10:$C$18)+SUMIF($F$10:$F$18,"&lt;="&amp;$F18,$D$10:$D$18)+SUMIF('Draw Schedule'!$G$9:$G$17,"&lt;="&amp;$F18,'Draw Schedule'!$E$9:$E$17)</f>
        <v/>
      </c>
    </row>
    <row r="20" ht="22" customHeight="1">
      <c r="B20" s="7" t="inlineStr">
        <is>
          <t>Lowest your cash ever gets</t>
        </is>
      </c>
      <c r="F20" s="26">
        <f>MIN(G10:G18)</f>
        <v/>
      </c>
      <c r="G20" s="32" t="n"/>
    </row>
    <row r="21" ht="26" customHeight="1">
      <c r="B21" s="29" t="inlineStr">
        <is>
          <t>Extra cash you need to survive it</t>
        </is>
      </c>
      <c r="F21" s="30">
        <f>IF($F$20&gt;=0,0,-$F$20)</f>
        <v/>
      </c>
      <c r="G21" s="32" t="n"/>
    </row>
    <row r="23" ht="16" customHeight="1">
      <c r="A23" s="17" t="inlineStr">
        <is>
          <t>This is the number that catches people. A fully funded deal still needs cash on hand between draws.</t>
        </is>
      </c>
    </row>
  </sheetData>
  <mergeCells count="8">
    <mergeCell ref="A1:H1"/>
    <mergeCell ref="F21:G21"/>
    <mergeCell ref="A2:H2"/>
    <mergeCell ref="F20:G20"/>
    <mergeCell ref="B21:E21"/>
    <mergeCell ref="B20:E20"/>
    <mergeCell ref="A23:H23"/>
    <mergeCell ref="A6:H6"/>
  </mergeCells>
  <conditionalFormatting sqref="G10:G18">
    <cfRule type="cellIs" priority="1" operator="lessThan" dxfId="5">
      <formula>0</formula>
    </cfRule>
  </conditionalFormatting>
  <conditionalFormatting sqref="F21:G21">
    <cfRule type="cellIs" priority="2" operator="greaterThan" dxfId="6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C2A39"/>
    <outlinePr summaryBelow="1" summaryRight="1"/>
    <pageSetUpPr fitToPage="1"/>
  </sheetPr>
  <dimension ref="A1:F7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32" customWidth="1" min="3" max="3"/>
    <col width="8" customWidth="1" min="4" max="4"/>
    <col width="14" customWidth="1" min="5" max="5"/>
    <col width="9" customWidth="1" min="6" max="6"/>
  </cols>
  <sheetData>
    <row r="1" ht="38" customHeight="1">
      <c r="A1" s="1" t="inlineStr">
        <is>
          <t>Take Into Hona</t>
        </is>
      </c>
    </row>
    <row r="2" ht="20" customHeight="1">
      <c r="A2" s="3" t="inlineStr">
        <is>
          <t>This is your project, ready to build in the app. Phase, category, budget, days.</t>
        </is>
      </c>
    </row>
    <row r="3" ht="4" customHeight="1">
      <c r="A3" s="4" t="n"/>
      <c r="B3" s="4" t="n"/>
      <c r="C3" s="4" t="n"/>
      <c r="D3" s="4" t="n"/>
      <c r="E3" s="4" t="n"/>
      <c r="F3" s="4" t="n"/>
    </row>
    <row r="6" ht="16" customHeight="1">
      <c r="A6" s="17" t="inlineStr">
        <is>
          <t>Rows marked x are your project. Set them up once in Hona and every receipt you scan lands against these numbers.</t>
        </is>
      </c>
    </row>
    <row r="8" ht="26" customHeight="1">
      <c r="A8" s="19" t="inlineStr">
        <is>
          <t>Ph</t>
        </is>
      </c>
      <c r="B8" s="19" t="inlineStr">
        <is>
          <t>Phase</t>
        </is>
      </c>
      <c r="C8" s="19" t="inlineStr">
        <is>
          <t>Category</t>
        </is>
      </c>
      <c r="D8" s="19" t="inlineStr">
        <is>
          <t>Use?</t>
        </is>
      </c>
      <c r="E8" s="19" t="inlineStr">
        <is>
          <t>Budget</t>
        </is>
      </c>
      <c r="F8" s="19" t="inlineStr">
        <is>
          <t>Days</t>
        </is>
      </c>
    </row>
    <row r="9" ht="18" customHeight="1">
      <c r="A9" s="52">
        <f>'Scope &amp; Phases'!A8</f>
        <v/>
      </c>
      <c r="B9" s="90">
        <f>'Scope &amp; Phases'!B8</f>
        <v/>
      </c>
      <c r="C9" s="90">
        <f>'Scope &amp; Phases'!C8</f>
        <v/>
      </c>
      <c r="D9" s="52">
        <f>'Scope &amp; Phases'!D8</f>
        <v/>
      </c>
      <c r="E9" s="95">
        <f>'Scope &amp; Phases'!E8</f>
        <v/>
      </c>
      <c r="F9" s="55">
        <f>'Scope &amp; Phases'!F8</f>
        <v/>
      </c>
    </row>
    <row r="10" ht="18" customHeight="1">
      <c r="A10" s="52">
        <f>'Scope &amp; Phases'!A9</f>
        <v/>
      </c>
      <c r="B10" s="90">
        <f>'Scope &amp; Phases'!B9</f>
        <v/>
      </c>
      <c r="C10" s="90">
        <f>'Scope &amp; Phases'!C9</f>
        <v/>
      </c>
      <c r="D10" s="52">
        <f>'Scope &amp; Phases'!D9</f>
        <v/>
      </c>
      <c r="E10" s="95">
        <f>'Scope &amp; Phases'!E9</f>
        <v/>
      </c>
      <c r="F10" s="55">
        <f>'Scope &amp; Phases'!F9</f>
        <v/>
      </c>
    </row>
    <row r="11" ht="18" customHeight="1">
      <c r="A11" s="52">
        <f>'Scope &amp; Phases'!A10</f>
        <v/>
      </c>
      <c r="B11" s="90">
        <f>'Scope &amp; Phases'!B10</f>
        <v/>
      </c>
      <c r="C11" s="90">
        <f>'Scope &amp; Phases'!C10</f>
        <v/>
      </c>
      <c r="D11" s="52">
        <f>'Scope &amp; Phases'!D10</f>
        <v/>
      </c>
      <c r="E11" s="95">
        <f>'Scope &amp; Phases'!E10</f>
        <v/>
      </c>
      <c r="F11" s="55">
        <f>'Scope &amp; Phases'!F10</f>
        <v/>
      </c>
    </row>
    <row r="12" ht="18" customHeight="1">
      <c r="A12" s="52">
        <f>'Scope &amp; Phases'!A11</f>
        <v/>
      </c>
      <c r="B12" s="90">
        <f>'Scope &amp; Phases'!B11</f>
        <v/>
      </c>
      <c r="C12" s="90">
        <f>'Scope &amp; Phases'!C11</f>
        <v/>
      </c>
      <c r="D12" s="52">
        <f>'Scope &amp; Phases'!D11</f>
        <v/>
      </c>
      <c r="E12" s="95">
        <f>'Scope &amp; Phases'!E11</f>
        <v/>
      </c>
      <c r="F12" s="55">
        <f>'Scope &amp; Phases'!F11</f>
        <v/>
      </c>
    </row>
    <row r="13" ht="18" customHeight="1">
      <c r="A13" s="52">
        <f>'Scope &amp; Phases'!A12</f>
        <v/>
      </c>
      <c r="B13" s="90">
        <f>'Scope &amp; Phases'!B12</f>
        <v/>
      </c>
      <c r="C13" s="90">
        <f>'Scope &amp; Phases'!C12</f>
        <v/>
      </c>
      <c r="D13" s="52">
        <f>'Scope &amp; Phases'!D12</f>
        <v/>
      </c>
      <c r="E13" s="95">
        <f>'Scope &amp; Phases'!E12</f>
        <v/>
      </c>
      <c r="F13" s="55">
        <f>'Scope &amp; Phases'!F12</f>
        <v/>
      </c>
    </row>
    <row r="14" ht="18" customHeight="1">
      <c r="A14" s="52">
        <f>'Scope &amp; Phases'!A13</f>
        <v/>
      </c>
      <c r="B14" s="90">
        <f>'Scope &amp; Phases'!B13</f>
        <v/>
      </c>
      <c r="C14" s="90">
        <f>'Scope &amp; Phases'!C13</f>
        <v/>
      </c>
      <c r="D14" s="52">
        <f>'Scope &amp; Phases'!D13</f>
        <v/>
      </c>
      <c r="E14" s="95">
        <f>'Scope &amp; Phases'!E13</f>
        <v/>
      </c>
      <c r="F14" s="55">
        <f>'Scope &amp; Phases'!F13</f>
        <v/>
      </c>
    </row>
    <row r="15" ht="18" customHeight="1">
      <c r="A15" s="52">
        <f>'Scope &amp; Phases'!A14</f>
        <v/>
      </c>
      <c r="B15" s="90">
        <f>'Scope &amp; Phases'!B14</f>
        <v/>
      </c>
      <c r="C15" s="90">
        <f>'Scope &amp; Phases'!C14</f>
        <v/>
      </c>
      <c r="D15" s="52">
        <f>'Scope &amp; Phases'!D14</f>
        <v/>
      </c>
      <c r="E15" s="95">
        <f>'Scope &amp; Phases'!E14</f>
        <v/>
      </c>
      <c r="F15" s="55">
        <f>'Scope &amp; Phases'!F14</f>
        <v/>
      </c>
    </row>
    <row r="16" ht="18" customHeight="1">
      <c r="A16" s="52">
        <f>'Scope &amp; Phases'!A15</f>
        <v/>
      </c>
      <c r="B16" s="90">
        <f>'Scope &amp; Phases'!B15</f>
        <v/>
      </c>
      <c r="C16" s="90">
        <f>'Scope &amp; Phases'!C15</f>
        <v/>
      </c>
      <c r="D16" s="52">
        <f>'Scope &amp; Phases'!D15</f>
        <v/>
      </c>
      <c r="E16" s="95">
        <f>'Scope &amp; Phases'!E15</f>
        <v/>
      </c>
      <c r="F16" s="55">
        <f>'Scope &amp; Phases'!F15</f>
        <v/>
      </c>
    </row>
    <row r="17" ht="18" customHeight="1">
      <c r="A17" s="52">
        <f>'Scope &amp; Phases'!A16</f>
        <v/>
      </c>
      <c r="B17" s="90">
        <f>'Scope &amp; Phases'!B16</f>
        <v/>
      </c>
      <c r="C17" s="90">
        <f>'Scope &amp; Phases'!C16</f>
        <v/>
      </c>
      <c r="D17" s="52">
        <f>'Scope &amp; Phases'!D16</f>
        <v/>
      </c>
      <c r="E17" s="95">
        <f>'Scope &amp; Phases'!E16</f>
        <v/>
      </c>
      <c r="F17" s="55">
        <f>'Scope &amp; Phases'!F16</f>
        <v/>
      </c>
    </row>
    <row r="18" ht="18" customHeight="1">
      <c r="A18" s="52">
        <f>'Scope &amp; Phases'!A17</f>
        <v/>
      </c>
      <c r="B18" s="90">
        <f>'Scope &amp; Phases'!B17</f>
        <v/>
      </c>
      <c r="C18" s="90">
        <f>'Scope &amp; Phases'!C17</f>
        <v/>
      </c>
      <c r="D18" s="52">
        <f>'Scope &amp; Phases'!D17</f>
        <v/>
      </c>
      <c r="E18" s="95">
        <f>'Scope &amp; Phases'!E17</f>
        <v/>
      </c>
      <c r="F18" s="55">
        <f>'Scope &amp; Phases'!F17</f>
        <v/>
      </c>
    </row>
    <row r="19" ht="18" customHeight="1">
      <c r="A19" s="52">
        <f>'Scope &amp; Phases'!A18</f>
        <v/>
      </c>
      <c r="B19" s="90">
        <f>'Scope &amp; Phases'!B18</f>
        <v/>
      </c>
      <c r="C19" s="90">
        <f>'Scope &amp; Phases'!C18</f>
        <v/>
      </c>
      <c r="D19" s="52">
        <f>'Scope &amp; Phases'!D18</f>
        <v/>
      </c>
      <c r="E19" s="95">
        <f>'Scope &amp; Phases'!E18</f>
        <v/>
      </c>
      <c r="F19" s="55">
        <f>'Scope &amp; Phases'!F18</f>
        <v/>
      </c>
    </row>
    <row r="20" ht="18" customHeight="1">
      <c r="A20" s="52">
        <f>'Scope &amp; Phases'!A19</f>
        <v/>
      </c>
      <c r="B20" s="90">
        <f>'Scope &amp; Phases'!B19</f>
        <v/>
      </c>
      <c r="C20" s="90">
        <f>'Scope &amp; Phases'!C19</f>
        <v/>
      </c>
      <c r="D20" s="52">
        <f>'Scope &amp; Phases'!D19</f>
        <v/>
      </c>
      <c r="E20" s="95">
        <f>'Scope &amp; Phases'!E19</f>
        <v/>
      </c>
      <c r="F20" s="55">
        <f>'Scope &amp; Phases'!F19</f>
        <v/>
      </c>
    </row>
    <row r="21" ht="18" customHeight="1">
      <c r="A21" s="52">
        <f>'Scope &amp; Phases'!A20</f>
        <v/>
      </c>
      <c r="B21" s="90">
        <f>'Scope &amp; Phases'!B20</f>
        <v/>
      </c>
      <c r="C21" s="90">
        <f>'Scope &amp; Phases'!C20</f>
        <v/>
      </c>
      <c r="D21" s="52">
        <f>'Scope &amp; Phases'!D20</f>
        <v/>
      </c>
      <c r="E21" s="95">
        <f>'Scope &amp; Phases'!E20</f>
        <v/>
      </c>
      <c r="F21" s="55">
        <f>'Scope &amp; Phases'!F20</f>
        <v/>
      </c>
    </row>
    <row r="22" ht="18" customHeight="1">
      <c r="A22" s="52">
        <f>'Scope &amp; Phases'!A21</f>
        <v/>
      </c>
      <c r="B22" s="90">
        <f>'Scope &amp; Phases'!B21</f>
        <v/>
      </c>
      <c r="C22" s="90">
        <f>'Scope &amp; Phases'!C21</f>
        <v/>
      </c>
      <c r="D22" s="52">
        <f>'Scope &amp; Phases'!D21</f>
        <v/>
      </c>
      <c r="E22" s="95">
        <f>'Scope &amp; Phases'!E21</f>
        <v/>
      </c>
      <c r="F22" s="55">
        <f>'Scope &amp; Phases'!F21</f>
        <v/>
      </c>
    </row>
    <row r="23" ht="18" customHeight="1">
      <c r="A23" s="52">
        <f>'Scope &amp; Phases'!A22</f>
        <v/>
      </c>
      <c r="B23" s="90">
        <f>'Scope &amp; Phases'!B22</f>
        <v/>
      </c>
      <c r="C23" s="90">
        <f>'Scope &amp; Phases'!C22</f>
        <v/>
      </c>
      <c r="D23" s="52">
        <f>'Scope &amp; Phases'!D22</f>
        <v/>
      </c>
      <c r="E23" s="95">
        <f>'Scope &amp; Phases'!E22</f>
        <v/>
      </c>
      <c r="F23" s="55">
        <f>'Scope &amp; Phases'!F22</f>
        <v/>
      </c>
    </row>
    <row r="24" ht="18" customHeight="1">
      <c r="A24" s="52">
        <f>'Scope &amp; Phases'!A23</f>
        <v/>
      </c>
      <c r="B24" s="90">
        <f>'Scope &amp; Phases'!B23</f>
        <v/>
      </c>
      <c r="C24" s="90">
        <f>'Scope &amp; Phases'!C23</f>
        <v/>
      </c>
      <c r="D24" s="52">
        <f>'Scope &amp; Phases'!D23</f>
        <v/>
      </c>
      <c r="E24" s="95">
        <f>'Scope &amp; Phases'!E23</f>
        <v/>
      </c>
      <c r="F24" s="55">
        <f>'Scope &amp; Phases'!F23</f>
        <v/>
      </c>
    </row>
    <row r="25" ht="18" customHeight="1">
      <c r="A25" s="52">
        <f>'Scope &amp; Phases'!A24</f>
        <v/>
      </c>
      <c r="B25" s="90">
        <f>'Scope &amp; Phases'!B24</f>
        <v/>
      </c>
      <c r="C25" s="90">
        <f>'Scope &amp; Phases'!C24</f>
        <v/>
      </c>
      <c r="D25" s="52">
        <f>'Scope &amp; Phases'!D24</f>
        <v/>
      </c>
      <c r="E25" s="95">
        <f>'Scope &amp; Phases'!E24</f>
        <v/>
      </c>
      <c r="F25" s="55">
        <f>'Scope &amp; Phases'!F24</f>
        <v/>
      </c>
    </row>
    <row r="26" ht="18" customHeight="1">
      <c r="A26" s="52">
        <f>'Scope &amp; Phases'!A25</f>
        <v/>
      </c>
      <c r="B26" s="90">
        <f>'Scope &amp; Phases'!B25</f>
        <v/>
      </c>
      <c r="C26" s="90">
        <f>'Scope &amp; Phases'!C25</f>
        <v/>
      </c>
      <c r="D26" s="52">
        <f>'Scope &amp; Phases'!D25</f>
        <v/>
      </c>
      <c r="E26" s="95">
        <f>'Scope &amp; Phases'!E25</f>
        <v/>
      </c>
      <c r="F26" s="55">
        <f>'Scope &amp; Phases'!F25</f>
        <v/>
      </c>
    </row>
    <row r="27" ht="18" customHeight="1">
      <c r="A27" s="52">
        <f>'Scope &amp; Phases'!A26</f>
        <v/>
      </c>
      <c r="B27" s="90">
        <f>'Scope &amp; Phases'!B26</f>
        <v/>
      </c>
      <c r="C27" s="90">
        <f>'Scope &amp; Phases'!C26</f>
        <v/>
      </c>
      <c r="D27" s="52">
        <f>'Scope &amp; Phases'!D26</f>
        <v/>
      </c>
      <c r="E27" s="95">
        <f>'Scope &amp; Phases'!E26</f>
        <v/>
      </c>
      <c r="F27" s="55">
        <f>'Scope &amp; Phases'!F26</f>
        <v/>
      </c>
    </row>
    <row r="28" ht="18" customHeight="1">
      <c r="A28" s="52">
        <f>'Scope &amp; Phases'!A27</f>
        <v/>
      </c>
      <c r="B28" s="90">
        <f>'Scope &amp; Phases'!B27</f>
        <v/>
      </c>
      <c r="C28" s="90">
        <f>'Scope &amp; Phases'!C27</f>
        <v/>
      </c>
      <c r="D28" s="52">
        <f>'Scope &amp; Phases'!D27</f>
        <v/>
      </c>
      <c r="E28" s="95">
        <f>'Scope &amp; Phases'!E27</f>
        <v/>
      </c>
      <c r="F28" s="55">
        <f>'Scope &amp; Phases'!F27</f>
        <v/>
      </c>
    </row>
    <row r="29" ht="18" customHeight="1">
      <c r="A29" s="52">
        <f>'Scope &amp; Phases'!A28</f>
        <v/>
      </c>
      <c r="B29" s="90">
        <f>'Scope &amp; Phases'!B28</f>
        <v/>
      </c>
      <c r="C29" s="90">
        <f>'Scope &amp; Phases'!C28</f>
        <v/>
      </c>
      <c r="D29" s="52">
        <f>'Scope &amp; Phases'!D28</f>
        <v/>
      </c>
      <c r="E29" s="95">
        <f>'Scope &amp; Phases'!E28</f>
        <v/>
      </c>
      <c r="F29" s="55">
        <f>'Scope &amp; Phases'!F28</f>
        <v/>
      </c>
    </row>
    <row r="30" ht="18" customHeight="1">
      <c r="A30" s="52">
        <f>'Scope &amp; Phases'!A29</f>
        <v/>
      </c>
      <c r="B30" s="90">
        <f>'Scope &amp; Phases'!B29</f>
        <v/>
      </c>
      <c r="C30" s="90">
        <f>'Scope &amp; Phases'!C29</f>
        <v/>
      </c>
      <c r="D30" s="52">
        <f>'Scope &amp; Phases'!D29</f>
        <v/>
      </c>
      <c r="E30" s="95">
        <f>'Scope &amp; Phases'!E29</f>
        <v/>
      </c>
      <c r="F30" s="55">
        <f>'Scope &amp; Phases'!F29</f>
        <v/>
      </c>
    </row>
    <row r="31" ht="18" customHeight="1">
      <c r="A31" s="52">
        <f>'Scope &amp; Phases'!A30</f>
        <v/>
      </c>
      <c r="B31" s="90">
        <f>'Scope &amp; Phases'!B30</f>
        <v/>
      </c>
      <c r="C31" s="90">
        <f>'Scope &amp; Phases'!C30</f>
        <v/>
      </c>
      <c r="D31" s="52">
        <f>'Scope &amp; Phases'!D30</f>
        <v/>
      </c>
      <c r="E31" s="95">
        <f>'Scope &amp; Phases'!E30</f>
        <v/>
      </c>
      <c r="F31" s="55">
        <f>'Scope &amp; Phases'!F30</f>
        <v/>
      </c>
    </row>
    <row r="32" ht="18" customHeight="1">
      <c r="A32" s="52">
        <f>'Scope &amp; Phases'!A31</f>
        <v/>
      </c>
      <c r="B32" s="90">
        <f>'Scope &amp; Phases'!B31</f>
        <v/>
      </c>
      <c r="C32" s="90">
        <f>'Scope &amp; Phases'!C31</f>
        <v/>
      </c>
      <c r="D32" s="52">
        <f>'Scope &amp; Phases'!D31</f>
        <v/>
      </c>
      <c r="E32" s="95">
        <f>'Scope &amp; Phases'!E31</f>
        <v/>
      </c>
      <c r="F32" s="55">
        <f>'Scope &amp; Phases'!F31</f>
        <v/>
      </c>
    </row>
    <row r="33" ht="18" customHeight="1">
      <c r="A33" s="52">
        <f>'Scope &amp; Phases'!A32</f>
        <v/>
      </c>
      <c r="B33" s="90">
        <f>'Scope &amp; Phases'!B32</f>
        <v/>
      </c>
      <c r="C33" s="90">
        <f>'Scope &amp; Phases'!C32</f>
        <v/>
      </c>
      <c r="D33" s="52">
        <f>'Scope &amp; Phases'!D32</f>
        <v/>
      </c>
      <c r="E33" s="95">
        <f>'Scope &amp; Phases'!E32</f>
        <v/>
      </c>
      <c r="F33" s="55">
        <f>'Scope &amp; Phases'!F32</f>
        <v/>
      </c>
    </row>
    <row r="34" ht="18" customHeight="1">
      <c r="A34" s="52">
        <f>'Scope &amp; Phases'!A33</f>
        <v/>
      </c>
      <c r="B34" s="90">
        <f>'Scope &amp; Phases'!B33</f>
        <v/>
      </c>
      <c r="C34" s="90">
        <f>'Scope &amp; Phases'!C33</f>
        <v/>
      </c>
      <c r="D34" s="52">
        <f>'Scope &amp; Phases'!D33</f>
        <v/>
      </c>
      <c r="E34" s="95">
        <f>'Scope &amp; Phases'!E33</f>
        <v/>
      </c>
      <c r="F34" s="55">
        <f>'Scope &amp; Phases'!F33</f>
        <v/>
      </c>
    </row>
    <row r="35" ht="18" customHeight="1">
      <c r="A35" s="52">
        <f>'Scope &amp; Phases'!A34</f>
        <v/>
      </c>
      <c r="B35" s="90">
        <f>'Scope &amp; Phases'!B34</f>
        <v/>
      </c>
      <c r="C35" s="90">
        <f>'Scope &amp; Phases'!C34</f>
        <v/>
      </c>
      <c r="D35" s="52">
        <f>'Scope &amp; Phases'!D34</f>
        <v/>
      </c>
      <c r="E35" s="95">
        <f>'Scope &amp; Phases'!E34</f>
        <v/>
      </c>
      <c r="F35" s="55">
        <f>'Scope &amp; Phases'!F34</f>
        <v/>
      </c>
    </row>
    <row r="36" ht="18" customHeight="1">
      <c r="A36" s="52">
        <f>'Scope &amp; Phases'!A35</f>
        <v/>
      </c>
      <c r="B36" s="90">
        <f>'Scope &amp; Phases'!B35</f>
        <v/>
      </c>
      <c r="C36" s="90">
        <f>'Scope &amp; Phases'!C35</f>
        <v/>
      </c>
      <c r="D36" s="52">
        <f>'Scope &amp; Phases'!D35</f>
        <v/>
      </c>
      <c r="E36" s="95">
        <f>'Scope &amp; Phases'!E35</f>
        <v/>
      </c>
      <c r="F36" s="55">
        <f>'Scope &amp; Phases'!F35</f>
        <v/>
      </c>
    </row>
    <row r="37" ht="18" customHeight="1">
      <c r="A37" s="52">
        <f>'Scope &amp; Phases'!A36</f>
        <v/>
      </c>
      <c r="B37" s="90">
        <f>'Scope &amp; Phases'!B36</f>
        <v/>
      </c>
      <c r="C37" s="90">
        <f>'Scope &amp; Phases'!C36</f>
        <v/>
      </c>
      <c r="D37" s="52">
        <f>'Scope &amp; Phases'!D36</f>
        <v/>
      </c>
      <c r="E37" s="95">
        <f>'Scope &amp; Phases'!E36</f>
        <v/>
      </c>
      <c r="F37" s="55">
        <f>'Scope &amp; Phases'!F36</f>
        <v/>
      </c>
    </row>
    <row r="38" ht="18" customHeight="1">
      <c r="A38" s="52">
        <f>'Scope &amp; Phases'!A37</f>
        <v/>
      </c>
      <c r="B38" s="90">
        <f>'Scope &amp; Phases'!B37</f>
        <v/>
      </c>
      <c r="C38" s="90">
        <f>'Scope &amp; Phases'!C37</f>
        <v/>
      </c>
      <c r="D38" s="52">
        <f>'Scope &amp; Phases'!D37</f>
        <v/>
      </c>
      <c r="E38" s="95">
        <f>'Scope &amp; Phases'!E37</f>
        <v/>
      </c>
      <c r="F38" s="55">
        <f>'Scope &amp; Phases'!F37</f>
        <v/>
      </c>
    </row>
    <row r="39" ht="18" customHeight="1">
      <c r="A39" s="52">
        <f>'Scope &amp; Phases'!A38</f>
        <v/>
      </c>
      <c r="B39" s="90">
        <f>'Scope &amp; Phases'!B38</f>
        <v/>
      </c>
      <c r="C39" s="90">
        <f>'Scope &amp; Phases'!C38</f>
        <v/>
      </c>
      <c r="D39" s="52">
        <f>'Scope &amp; Phases'!D38</f>
        <v/>
      </c>
      <c r="E39" s="95">
        <f>'Scope &amp; Phases'!E38</f>
        <v/>
      </c>
      <c r="F39" s="55">
        <f>'Scope &amp; Phases'!F38</f>
        <v/>
      </c>
    </row>
    <row r="40" ht="18" customHeight="1">
      <c r="A40" s="52">
        <f>'Scope &amp; Phases'!A39</f>
        <v/>
      </c>
      <c r="B40" s="90">
        <f>'Scope &amp; Phases'!B39</f>
        <v/>
      </c>
      <c r="C40" s="90">
        <f>'Scope &amp; Phases'!C39</f>
        <v/>
      </c>
      <c r="D40" s="52">
        <f>'Scope &amp; Phases'!D39</f>
        <v/>
      </c>
      <c r="E40" s="95">
        <f>'Scope &amp; Phases'!E39</f>
        <v/>
      </c>
      <c r="F40" s="55">
        <f>'Scope &amp; Phases'!F39</f>
        <v/>
      </c>
    </row>
    <row r="41" ht="18" customHeight="1">
      <c r="A41" s="52">
        <f>'Scope &amp; Phases'!A40</f>
        <v/>
      </c>
      <c r="B41" s="90">
        <f>'Scope &amp; Phases'!B40</f>
        <v/>
      </c>
      <c r="C41" s="90">
        <f>'Scope &amp; Phases'!C40</f>
        <v/>
      </c>
      <c r="D41" s="52">
        <f>'Scope &amp; Phases'!D40</f>
        <v/>
      </c>
      <c r="E41" s="95">
        <f>'Scope &amp; Phases'!E40</f>
        <v/>
      </c>
      <c r="F41" s="55">
        <f>'Scope &amp; Phases'!F40</f>
        <v/>
      </c>
    </row>
    <row r="42" ht="18" customHeight="1">
      <c r="A42" s="52">
        <f>'Scope &amp; Phases'!A41</f>
        <v/>
      </c>
      <c r="B42" s="90">
        <f>'Scope &amp; Phases'!B41</f>
        <v/>
      </c>
      <c r="C42" s="90">
        <f>'Scope &amp; Phases'!C41</f>
        <v/>
      </c>
      <c r="D42" s="52">
        <f>'Scope &amp; Phases'!D41</f>
        <v/>
      </c>
      <c r="E42" s="95">
        <f>'Scope &amp; Phases'!E41</f>
        <v/>
      </c>
      <c r="F42" s="55">
        <f>'Scope &amp; Phases'!F41</f>
        <v/>
      </c>
    </row>
    <row r="43" ht="18" customHeight="1">
      <c r="A43" s="52">
        <f>'Scope &amp; Phases'!A42</f>
        <v/>
      </c>
      <c r="B43" s="90">
        <f>'Scope &amp; Phases'!B42</f>
        <v/>
      </c>
      <c r="C43" s="90">
        <f>'Scope &amp; Phases'!C42</f>
        <v/>
      </c>
      <c r="D43" s="52">
        <f>'Scope &amp; Phases'!D42</f>
        <v/>
      </c>
      <c r="E43" s="95">
        <f>'Scope &amp; Phases'!E42</f>
        <v/>
      </c>
      <c r="F43" s="55">
        <f>'Scope &amp; Phases'!F42</f>
        <v/>
      </c>
    </row>
    <row r="44" ht="18" customHeight="1">
      <c r="A44" s="52">
        <f>'Scope &amp; Phases'!A43</f>
        <v/>
      </c>
      <c r="B44" s="90">
        <f>'Scope &amp; Phases'!B43</f>
        <v/>
      </c>
      <c r="C44" s="90">
        <f>'Scope &amp; Phases'!C43</f>
        <v/>
      </c>
      <c r="D44" s="52">
        <f>'Scope &amp; Phases'!D43</f>
        <v/>
      </c>
      <c r="E44" s="95">
        <f>'Scope &amp; Phases'!E43</f>
        <v/>
      </c>
      <c r="F44" s="55">
        <f>'Scope &amp; Phases'!F43</f>
        <v/>
      </c>
    </row>
    <row r="45" ht="18" customHeight="1">
      <c r="A45" s="52">
        <f>'Scope &amp; Phases'!A44</f>
        <v/>
      </c>
      <c r="B45" s="90">
        <f>'Scope &amp; Phases'!B44</f>
        <v/>
      </c>
      <c r="C45" s="90">
        <f>'Scope &amp; Phases'!C44</f>
        <v/>
      </c>
      <c r="D45" s="52">
        <f>'Scope &amp; Phases'!D44</f>
        <v/>
      </c>
      <c r="E45" s="95">
        <f>'Scope &amp; Phases'!E44</f>
        <v/>
      </c>
      <c r="F45" s="55">
        <f>'Scope &amp; Phases'!F44</f>
        <v/>
      </c>
    </row>
    <row r="46" ht="18" customHeight="1">
      <c r="A46" s="52">
        <f>'Scope &amp; Phases'!A45</f>
        <v/>
      </c>
      <c r="B46" s="90">
        <f>'Scope &amp; Phases'!B45</f>
        <v/>
      </c>
      <c r="C46" s="90">
        <f>'Scope &amp; Phases'!C45</f>
        <v/>
      </c>
      <c r="D46" s="52">
        <f>'Scope &amp; Phases'!D45</f>
        <v/>
      </c>
      <c r="E46" s="95">
        <f>'Scope &amp; Phases'!E45</f>
        <v/>
      </c>
      <c r="F46" s="55">
        <f>'Scope &amp; Phases'!F45</f>
        <v/>
      </c>
    </row>
    <row r="47" ht="18" customHeight="1">
      <c r="A47" s="52">
        <f>'Scope &amp; Phases'!A46</f>
        <v/>
      </c>
      <c r="B47" s="90">
        <f>'Scope &amp; Phases'!B46</f>
        <v/>
      </c>
      <c r="C47" s="90">
        <f>'Scope &amp; Phases'!C46</f>
        <v/>
      </c>
      <c r="D47" s="52">
        <f>'Scope &amp; Phases'!D46</f>
        <v/>
      </c>
      <c r="E47" s="95">
        <f>'Scope &amp; Phases'!E46</f>
        <v/>
      </c>
      <c r="F47" s="55">
        <f>'Scope &amp; Phases'!F46</f>
        <v/>
      </c>
    </row>
    <row r="48" ht="18" customHeight="1">
      <c r="A48" s="52">
        <f>'Scope &amp; Phases'!A47</f>
        <v/>
      </c>
      <c r="B48" s="90">
        <f>'Scope &amp; Phases'!B47</f>
        <v/>
      </c>
      <c r="C48" s="90">
        <f>'Scope &amp; Phases'!C47</f>
        <v/>
      </c>
      <c r="D48" s="52">
        <f>'Scope &amp; Phases'!D47</f>
        <v/>
      </c>
      <c r="E48" s="95">
        <f>'Scope &amp; Phases'!E47</f>
        <v/>
      </c>
      <c r="F48" s="55">
        <f>'Scope &amp; Phases'!F47</f>
        <v/>
      </c>
    </row>
    <row r="49" ht="18" customHeight="1">
      <c r="A49" s="52">
        <f>'Scope &amp; Phases'!A48</f>
        <v/>
      </c>
      <c r="B49" s="90">
        <f>'Scope &amp; Phases'!B48</f>
        <v/>
      </c>
      <c r="C49" s="90">
        <f>'Scope &amp; Phases'!C48</f>
        <v/>
      </c>
      <c r="D49" s="52">
        <f>'Scope &amp; Phases'!D48</f>
        <v/>
      </c>
      <c r="E49" s="95">
        <f>'Scope &amp; Phases'!E48</f>
        <v/>
      </c>
      <c r="F49" s="55">
        <f>'Scope &amp; Phases'!F48</f>
        <v/>
      </c>
    </row>
    <row r="50" ht="18" customHeight="1">
      <c r="A50" s="52">
        <f>'Scope &amp; Phases'!A49</f>
        <v/>
      </c>
      <c r="B50" s="90">
        <f>'Scope &amp; Phases'!B49</f>
        <v/>
      </c>
      <c r="C50" s="90">
        <f>'Scope &amp; Phases'!C49</f>
        <v/>
      </c>
      <c r="D50" s="52">
        <f>'Scope &amp; Phases'!D49</f>
        <v/>
      </c>
      <c r="E50" s="95">
        <f>'Scope &amp; Phases'!E49</f>
        <v/>
      </c>
      <c r="F50" s="55">
        <f>'Scope &amp; Phases'!F49</f>
        <v/>
      </c>
    </row>
    <row r="51" ht="18" customHeight="1">
      <c r="A51" s="52">
        <f>'Scope &amp; Phases'!A50</f>
        <v/>
      </c>
      <c r="B51" s="90">
        <f>'Scope &amp; Phases'!B50</f>
        <v/>
      </c>
      <c r="C51" s="90">
        <f>'Scope &amp; Phases'!C50</f>
        <v/>
      </c>
      <c r="D51" s="52">
        <f>'Scope &amp; Phases'!D50</f>
        <v/>
      </c>
      <c r="E51" s="95">
        <f>'Scope &amp; Phases'!E50</f>
        <v/>
      </c>
      <c r="F51" s="55">
        <f>'Scope &amp; Phases'!F50</f>
        <v/>
      </c>
    </row>
    <row r="52" ht="18" customHeight="1">
      <c r="A52" s="52">
        <f>'Scope &amp; Phases'!A51</f>
        <v/>
      </c>
      <c r="B52" s="90">
        <f>'Scope &amp; Phases'!B51</f>
        <v/>
      </c>
      <c r="C52" s="90">
        <f>'Scope &amp; Phases'!C51</f>
        <v/>
      </c>
      <c r="D52" s="52">
        <f>'Scope &amp; Phases'!D51</f>
        <v/>
      </c>
      <c r="E52" s="95">
        <f>'Scope &amp; Phases'!E51</f>
        <v/>
      </c>
      <c r="F52" s="55">
        <f>'Scope &amp; Phases'!F51</f>
        <v/>
      </c>
    </row>
    <row r="53" ht="18" customHeight="1">
      <c r="A53" s="52">
        <f>'Scope &amp; Phases'!A52</f>
        <v/>
      </c>
      <c r="B53" s="90">
        <f>'Scope &amp; Phases'!B52</f>
        <v/>
      </c>
      <c r="C53" s="90">
        <f>'Scope &amp; Phases'!C52</f>
        <v/>
      </c>
      <c r="D53" s="52">
        <f>'Scope &amp; Phases'!D52</f>
        <v/>
      </c>
      <c r="E53" s="95">
        <f>'Scope &amp; Phases'!E52</f>
        <v/>
      </c>
      <c r="F53" s="55">
        <f>'Scope &amp; Phases'!F52</f>
        <v/>
      </c>
    </row>
    <row r="54" ht="18" customHeight="1">
      <c r="A54" s="52">
        <f>'Scope &amp; Phases'!A53</f>
        <v/>
      </c>
      <c r="B54" s="90">
        <f>'Scope &amp; Phases'!B53</f>
        <v/>
      </c>
      <c r="C54" s="90">
        <f>'Scope &amp; Phases'!C53</f>
        <v/>
      </c>
      <c r="D54" s="52">
        <f>'Scope &amp; Phases'!D53</f>
        <v/>
      </c>
      <c r="E54" s="95">
        <f>'Scope &amp; Phases'!E53</f>
        <v/>
      </c>
      <c r="F54" s="55">
        <f>'Scope &amp; Phases'!F53</f>
        <v/>
      </c>
    </row>
    <row r="55" ht="18" customHeight="1">
      <c r="A55" s="52">
        <f>'Scope &amp; Phases'!A54</f>
        <v/>
      </c>
      <c r="B55" s="90">
        <f>'Scope &amp; Phases'!B54</f>
        <v/>
      </c>
      <c r="C55" s="90">
        <f>'Scope &amp; Phases'!C54</f>
        <v/>
      </c>
      <c r="D55" s="52">
        <f>'Scope &amp; Phases'!D54</f>
        <v/>
      </c>
      <c r="E55" s="95">
        <f>'Scope &amp; Phases'!E54</f>
        <v/>
      </c>
      <c r="F55" s="55">
        <f>'Scope &amp; Phases'!F54</f>
        <v/>
      </c>
    </row>
    <row r="56" ht="18" customHeight="1">
      <c r="A56" s="52">
        <f>'Scope &amp; Phases'!A55</f>
        <v/>
      </c>
      <c r="B56" s="90">
        <f>'Scope &amp; Phases'!B55</f>
        <v/>
      </c>
      <c r="C56" s="90">
        <f>'Scope &amp; Phases'!C55</f>
        <v/>
      </c>
      <c r="D56" s="52">
        <f>'Scope &amp; Phases'!D55</f>
        <v/>
      </c>
      <c r="E56" s="95">
        <f>'Scope &amp; Phases'!E55</f>
        <v/>
      </c>
      <c r="F56" s="55">
        <f>'Scope &amp; Phases'!F55</f>
        <v/>
      </c>
    </row>
    <row r="57" ht="18" customHeight="1">
      <c r="A57" s="52">
        <f>'Scope &amp; Phases'!A56</f>
        <v/>
      </c>
      <c r="B57" s="90">
        <f>'Scope &amp; Phases'!B56</f>
        <v/>
      </c>
      <c r="C57" s="90">
        <f>'Scope &amp; Phases'!C56</f>
        <v/>
      </c>
      <c r="D57" s="52">
        <f>'Scope &amp; Phases'!D56</f>
        <v/>
      </c>
      <c r="E57" s="95">
        <f>'Scope &amp; Phases'!E56</f>
        <v/>
      </c>
      <c r="F57" s="55">
        <f>'Scope &amp; Phases'!F56</f>
        <v/>
      </c>
    </row>
    <row r="58" ht="18" customHeight="1">
      <c r="A58" s="52">
        <f>'Scope &amp; Phases'!A57</f>
        <v/>
      </c>
      <c r="B58" s="90">
        <f>'Scope &amp; Phases'!B57</f>
        <v/>
      </c>
      <c r="C58" s="90">
        <f>'Scope &amp; Phases'!C57</f>
        <v/>
      </c>
      <c r="D58" s="52">
        <f>'Scope &amp; Phases'!D57</f>
        <v/>
      </c>
      <c r="E58" s="95">
        <f>'Scope &amp; Phases'!E57</f>
        <v/>
      </c>
      <c r="F58" s="55">
        <f>'Scope &amp; Phases'!F57</f>
        <v/>
      </c>
    </row>
    <row r="59" ht="18" customHeight="1">
      <c r="A59" s="52">
        <f>'Scope &amp; Phases'!A58</f>
        <v/>
      </c>
      <c r="B59" s="90">
        <f>'Scope &amp; Phases'!B58</f>
        <v/>
      </c>
      <c r="C59" s="90">
        <f>'Scope &amp; Phases'!C58</f>
        <v/>
      </c>
      <c r="D59" s="52">
        <f>'Scope &amp; Phases'!D58</f>
        <v/>
      </c>
      <c r="E59" s="95">
        <f>'Scope &amp; Phases'!E58</f>
        <v/>
      </c>
      <c r="F59" s="55">
        <f>'Scope &amp; Phases'!F58</f>
        <v/>
      </c>
    </row>
    <row r="60" ht="18" customHeight="1">
      <c r="A60" s="52">
        <f>'Scope &amp; Phases'!A59</f>
        <v/>
      </c>
      <c r="B60" s="90">
        <f>'Scope &amp; Phases'!B59</f>
        <v/>
      </c>
      <c r="C60" s="90">
        <f>'Scope &amp; Phases'!C59</f>
        <v/>
      </c>
      <c r="D60" s="52">
        <f>'Scope &amp; Phases'!D59</f>
        <v/>
      </c>
      <c r="E60" s="95">
        <f>'Scope &amp; Phases'!E59</f>
        <v/>
      </c>
      <c r="F60" s="55">
        <f>'Scope &amp; Phases'!F59</f>
        <v/>
      </c>
    </row>
    <row r="61" ht="18" customHeight="1">
      <c r="A61" s="52">
        <f>'Scope &amp; Phases'!A60</f>
        <v/>
      </c>
      <c r="B61" s="90">
        <f>'Scope &amp; Phases'!B60</f>
        <v/>
      </c>
      <c r="C61" s="90">
        <f>'Scope &amp; Phases'!C60</f>
        <v/>
      </c>
      <c r="D61" s="52">
        <f>'Scope &amp; Phases'!D60</f>
        <v/>
      </c>
      <c r="E61" s="95">
        <f>'Scope &amp; Phases'!E60</f>
        <v/>
      </c>
      <c r="F61" s="55">
        <f>'Scope &amp; Phases'!F60</f>
        <v/>
      </c>
    </row>
    <row r="62" ht="18" customHeight="1">
      <c r="A62" s="52">
        <f>'Scope &amp; Phases'!A61</f>
        <v/>
      </c>
      <c r="B62" s="90">
        <f>'Scope &amp; Phases'!B61</f>
        <v/>
      </c>
      <c r="C62" s="90">
        <f>'Scope &amp; Phases'!C61</f>
        <v/>
      </c>
      <c r="D62" s="52">
        <f>'Scope &amp; Phases'!D61</f>
        <v/>
      </c>
      <c r="E62" s="95">
        <f>'Scope &amp; Phases'!E61</f>
        <v/>
      </c>
      <c r="F62" s="55">
        <f>'Scope &amp; Phases'!F61</f>
        <v/>
      </c>
    </row>
    <row r="63" ht="18" customHeight="1">
      <c r="A63" s="52">
        <f>'Scope &amp; Phases'!A62</f>
        <v/>
      </c>
      <c r="B63" s="90">
        <f>'Scope &amp; Phases'!B62</f>
        <v/>
      </c>
      <c r="C63" s="90">
        <f>'Scope &amp; Phases'!C62</f>
        <v/>
      </c>
      <c r="D63" s="52">
        <f>'Scope &amp; Phases'!D62</f>
        <v/>
      </c>
      <c r="E63" s="95">
        <f>'Scope &amp; Phases'!E62</f>
        <v/>
      </c>
      <c r="F63" s="55">
        <f>'Scope &amp; Phases'!F62</f>
        <v/>
      </c>
    </row>
    <row r="64" ht="18" customHeight="1">
      <c r="A64" s="52">
        <f>'Scope &amp; Phases'!A63</f>
        <v/>
      </c>
      <c r="B64" s="90">
        <f>'Scope &amp; Phases'!B63</f>
        <v/>
      </c>
      <c r="C64" s="90">
        <f>'Scope &amp; Phases'!C63</f>
        <v/>
      </c>
      <c r="D64" s="52">
        <f>'Scope &amp; Phases'!D63</f>
        <v/>
      </c>
      <c r="E64" s="95">
        <f>'Scope &amp; Phases'!E63</f>
        <v/>
      </c>
      <c r="F64" s="55">
        <f>'Scope &amp; Phases'!F63</f>
        <v/>
      </c>
    </row>
    <row r="65" ht="18" customHeight="1">
      <c r="A65" s="52">
        <f>'Scope &amp; Phases'!A64</f>
        <v/>
      </c>
      <c r="B65" s="90">
        <f>'Scope &amp; Phases'!B64</f>
        <v/>
      </c>
      <c r="C65" s="90">
        <f>'Scope &amp; Phases'!C64</f>
        <v/>
      </c>
      <c r="D65" s="52">
        <f>'Scope &amp; Phases'!D64</f>
        <v/>
      </c>
      <c r="E65" s="95">
        <f>'Scope &amp; Phases'!E64</f>
        <v/>
      </c>
      <c r="F65" s="55">
        <f>'Scope &amp; Phases'!F64</f>
        <v/>
      </c>
    </row>
    <row r="66" ht="18" customHeight="1">
      <c r="A66" s="52">
        <f>'Scope &amp; Phases'!A65</f>
        <v/>
      </c>
      <c r="B66" s="90">
        <f>'Scope &amp; Phases'!B65</f>
        <v/>
      </c>
      <c r="C66" s="90">
        <f>'Scope &amp; Phases'!C65</f>
        <v/>
      </c>
      <c r="D66" s="52">
        <f>'Scope &amp; Phases'!D65</f>
        <v/>
      </c>
      <c r="E66" s="95">
        <f>'Scope &amp; Phases'!E65</f>
        <v/>
      </c>
      <c r="F66" s="55">
        <f>'Scope &amp; Phases'!F65</f>
        <v/>
      </c>
    </row>
    <row r="67" ht="18" customHeight="1">
      <c r="A67" s="52">
        <f>'Scope &amp; Phases'!A66</f>
        <v/>
      </c>
      <c r="B67" s="90">
        <f>'Scope &amp; Phases'!B66</f>
        <v/>
      </c>
      <c r="C67" s="90">
        <f>'Scope &amp; Phases'!C66</f>
        <v/>
      </c>
      <c r="D67" s="52">
        <f>'Scope &amp; Phases'!D66</f>
        <v/>
      </c>
      <c r="E67" s="95">
        <f>'Scope &amp; Phases'!E66</f>
        <v/>
      </c>
      <c r="F67" s="55">
        <f>'Scope &amp; Phases'!F66</f>
        <v/>
      </c>
    </row>
    <row r="68" ht="18" customHeight="1">
      <c r="A68" s="52">
        <f>'Scope &amp; Phases'!A67</f>
        <v/>
      </c>
      <c r="B68" s="90">
        <f>'Scope &amp; Phases'!B67</f>
        <v/>
      </c>
      <c r="C68" s="90">
        <f>'Scope &amp; Phases'!C67</f>
        <v/>
      </c>
      <c r="D68" s="52">
        <f>'Scope &amp; Phases'!D67</f>
        <v/>
      </c>
      <c r="E68" s="95">
        <f>'Scope &amp; Phases'!E67</f>
        <v/>
      </c>
      <c r="F68" s="55">
        <f>'Scope &amp; Phases'!F67</f>
        <v/>
      </c>
    </row>
    <row r="69" ht="18" customHeight="1">
      <c r="A69" s="52">
        <f>'Scope &amp; Phases'!A68</f>
        <v/>
      </c>
      <c r="B69" s="90">
        <f>'Scope &amp; Phases'!B68</f>
        <v/>
      </c>
      <c r="C69" s="90">
        <f>'Scope &amp; Phases'!C68</f>
        <v/>
      </c>
      <c r="D69" s="52">
        <f>'Scope &amp; Phases'!D68</f>
        <v/>
      </c>
      <c r="E69" s="95">
        <f>'Scope &amp; Phases'!E68</f>
        <v/>
      </c>
      <c r="F69" s="55">
        <f>'Scope &amp; Phases'!F68</f>
        <v/>
      </c>
    </row>
    <row r="70" ht="18" customHeight="1">
      <c r="A70" s="52">
        <f>'Scope &amp; Phases'!A69</f>
        <v/>
      </c>
      <c r="B70" s="90">
        <f>'Scope &amp; Phases'!B69</f>
        <v/>
      </c>
      <c r="C70" s="90">
        <f>'Scope &amp; Phases'!C69</f>
        <v/>
      </c>
      <c r="D70" s="52">
        <f>'Scope &amp; Phases'!D69</f>
        <v/>
      </c>
      <c r="E70" s="95">
        <f>'Scope &amp; Phases'!E69</f>
        <v/>
      </c>
      <c r="F70" s="55">
        <f>'Scope &amp; Phases'!F69</f>
        <v/>
      </c>
    </row>
    <row r="71" ht="18" customHeight="1">
      <c r="A71" s="52">
        <f>'Scope &amp; Phases'!A70</f>
        <v/>
      </c>
      <c r="B71" s="90">
        <f>'Scope &amp; Phases'!B70</f>
        <v/>
      </c>
      <c r="C71" s="90">
        <f>'Scope &amp; Phases'!C70</f>
        <v/>
      </c>
      <c r="D71" s="52">
        <f>'Scope &amp; Phases'!D70</f>
        <v/>
      </c>
      <c r="E71" s="95">
        <f>'Scope &amp; Phases'!E70</f>
        <v/>
      </c>
      <c r="F71" s="55">
        <f>'Scope &amp; Phases'!F70</f>
        <v/>
      </c>
    </row>
    <row r="72" ht="18" customHeight="1">
      <c r="A72" s="52">
        <f>'Scope &amp; Phases'!A71</f>
        <v/>
      </c>
      <c r="B72" s="90">
        <f>'Scope &amp; Phases'!B71</f>
        <v/>
      </c>
      <c r="C72" s="90">
        <f>'Scope &amp; Phases'!C71</f>
        <v/>
      </c>
      <c r="D72" s="52">
        <f>'Scope &amp; Phases'!D71</f>
        <v/>
      </c>
      <c r="E72" s="95">
        <f>'Scope &amp; Phases'!E71</f>
        <v/>
      </c>
      <c r="F72" s="55">
        <f>'Scope &amp; Phases'!F71</f>
        <v/>
      </c>
    </row>
    <row r="73" ht="18" customHeight="1">
      <c r="A73" s="52">
        <f>'Scope &amp; Phases'!A72</f>
        <v/>
      </c>
      <c r="B73" s="90">
        <f>'Scope &amp; Phases'!B72</f>
        <v/>
      </c>
      <c r="C73" s="90">
        <f>'Scope &amp; Phases'!C72</f>
        <v/>
      </c>
      <c r="D73" s="52">
        <f>'Scope &amp; Phases'!D72</f>
        <v/>
      </c>
      <c r="E73" s="95">
        <f>'Scope &amp; Phases'!E72</f>
        <v/>
      </c>
      <c r="F73" s="55">
        <f>'Scope &amp; Phases'!F72</f>
        <v/>
      </c>
    </row>
    <row r="74" ht="18" customHeight="1">
      <c r="A74" s="52">
        <f>'Scope &amp; Phases'!A73</f>
        <v/>
      </c>
      <c r="B74" s="90">
        <f>'Scope &amp; Phases'!B73</f>
        <v/>
      </c>
      <c r="C74" s="90">
        <f>'Scope &amp; Phases'!C73</f>
        <v/>
      </c>
      <c r="D74" s="52">
        <f>'Scope &amp; Phases'!D73</f>
        <v/>
      </c>
      <c r="E74" s="95">
        <f>'Scope &amp; Phases'!E73</f>
        <v/>
      </c>
      <c r="F74" s="55">
        <f>'Scope &amp; Phases'!F73</f>
        <v/>
      </c>
    </row>
    <row r="75">
      <c r="C75" s="24" t="inlineStr">
        <is>
          <t>Project total</t>
        </is>
      </c>
      <c r="E75" s="44">
        <f>SUMIF(D9:D74,"x",E9:E74)</f>
        <v/>
      </c>
    </row>
    <row r="77" ht="16" customHeight="1">
      <c r="A77" s="96" t="inlineStr">
        <is>
          <t>hona   ·   honafinancial.com</t>
        </is>
      </c>
    </row>
  </sheetData>
  <mergeCells count="4">
    <mergeCell ref="A2:F2"/>
    <mergeCell ref="A6:F6"/>
    <mergeCell ref="A1:F1"/>
    <mergeCell ref="A77:F77"/>
  </mergeCells>
  <conditionalFormatting sqref="A9:F74">
    <cfRule type="expression" priority="1" dxfId="3">
      <formula>$D9&lt;&gt;"x"</formula>
    </cfRule>
  </conditionalFormatting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2026-09-29T18:12:07Z</dcterms:created>
  <dcterms:modified xmlns:dcterms="http://purl.org/dc/terms/" xmlns:xsi="http://www.w3.org/2001/XMLSchema-instance" xsi:type="dcterms:W3CDTF">2026-09-30T02:10:23Z</dcterms:modified>
</cp:coreProperties>
</file>