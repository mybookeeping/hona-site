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aredwatson/Downloads/"/>
    </mc:Choice>
  </mc:AlternateContent>
  <xr:revisionPtr revIDLastSave="0" documentId="8_{B7F644D8-99EB-054F-80F3-C0AD1CA69999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Start Here" sheetId="1" r:id="rId1"/>
    <sheet name="Your Deal" sheetId="2" r:id="rId2"/>
    <sheet name="Comps &amp; Buy Box" sheetId="3" r:id="rId3"/>
    <sheet name="Scope &amp; Phases" sheetId="4" r:id="rId4"/>
    <sheet name="Bid Request" sheetId="5" r:id="rId5"/>
    <sheet name="Bid Comparison" sheetId="6" r:id="rId6"/>
    <sheet name="Budget &amp; Schedule" sheetId="7" r:id="rId7"/>
    <sheet name="Draw Schedule" sheetId="8" r:id="rId8"/>
    <sheet name="Cash &amp; Float" sheetId="9" r:id="rId9"/>
    <sheet name="Take Into Hona" sheetId="10" r:id="rId10"/>
  </sheets>
  <definedNames>
    <definedName name="_xlnm.Print_Area" localSheetId="4">'Bid Request'!$A$1:$E$39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0" l="1"/>
  <c r="C74" i="10"/>
  <c r="B74" i="10"/>
  <c r="A74" i="10"/>
  <c r="D73" i="10"/>
  <c r="C73" i="10"/>
  <c r="B73" i="10"/>
  <c r="A73" i="10"/>
  <c r="D72" i="10"/>
  <c r="C72" i="10"/>
  <c r="B72" i="10"/>
  <c r="A72" i="10"/>
  <c r="D71" i="10"/>
  <c r="C71" i="10"/>
  <c r="B71" i="10"/>
  <c r="A71" i="10"/>
  <c r="D70" i="10"/>
  <c r="C70" i="10"/>
  <c r="B70" i="10"/>
  <c r="A70" i="10"/>
  <c r="D69" i="10"/>
  <c r="C69" i="10"/>
  <c r="B69" i="10"/>
  <c r="A69" i="10"/>
  <c r="D68" i="10"/>
  <c r="C68" i="10"/>
  <c r="B68" i="10"/>
  <c r="A68" i="10"/>
  <c r="D67" i="10"/>
  <c r="C67" i="10"/>
  <c r="B67" i="10"/>
  <c r="A67" i="10"/>
  <c r="D66" i="10"/>
  <c r="C66" i="10"/>
  <c r="B66" i="10"/>
  <c r="A66" i="10"/>
  <c r="D65" i="10"/>
  <c r="C65" i="10"/>
  <c r="B65" i="10"/>
  <c r="A65" i="10"/>
  <c r="D64" i="10"/>
  <c r="C64" i="10"/>
  <c r="B64" i="10"/>
  <c r="A64" i="10"/>
  <c r="D63" i="10"/>
  <c r="C63" i="10"/>
  <c r="B63" i="10"/>
  <c r="A63" i="10"/>
  <c r="D62" i="10"/>
  <c r="C62" i="10"/>
  <c r="B62" i="10"/>
  <c r="A62" i="10"/>
  <c r="D61" i="10"/>
  <c r="C61" i="10"/>
  <c r="B61" i="10"/>
  <c r="A61" i="10"/>
  <c r="D60" i="10"/>
  <c r="C60" i="10"/>
  <c r="B60" i="10"/>
  <c r="A60" i="10"/>
  <c r="D59" i="10"/>
  <c r="C59" i="10"/>
  <c r="B59" i="10"/>
  <c r="A59" i="10"/>
  <c r="D58" i="10"/>
  <c r="C58" i="10"/>
  <c r="B58" i="10"/>
  <c r="A58" i="10"/>
  <c r="D57" i="10"/>
  <c r="C57" i="10"/>
  <c r="B57" i="10"/>
  <c r="A57" i="10"/>
  <c r="D56" i="10"/>
  <c r="C56" i="10"/>
  <c r="B56" i="10"/>
  <c r="A56" i="10"/>
  <c r="D55" i="10"/>
  <c r="C55" i="10"/>
  <c r="B55" i="10"/>
  <c r="A55" i="10"/>
  <c r="D54" i="10"/>
  <c r="C54" i="10"/>
  <c r="B54" i="10"/>
  <c r="A54" i="10"/>
  <c r="D53" i="10"/>
  <c r="C53" i="10"/>
  <c r="B53" i="10"/>
  <c r="A53" i="10"/>
  <c r="D52" i="10"/>
  <c r="C52" i="10"/>
  <c r="B52" i="10"/>
  <c r="A52" i="10"/>
  <c r="D51" i="10"/>
  <c r="C51" i="10"/>
  <c r="B51" i="10"/>
  <c r="A51" i="10"/>
  <c r="D50" i="10"/>
  <c r="C50" i="10"/>
  <c r="B50" i="10"/>
  <c r="A50" i="10"/>
  <c r="D49" i="10"/>
  <c r="C49" i="10"/>
  <c r="B49" i="10"/>
  <c r="A49" i="10"/>
  <c r="D48" i="10"/>
  <c r="C48" i="10"/>
  <c r="B48" i="10"/>
  <c r="A48" i="10"/>
  <c r="D47" i="10"/>
  <c r="C47" i="10"/>
  <c r="B47" i="10"/>
  <c r="A47" i="10"/>
  <c r="D46" i="10"/>
  <c r="C46" i="10"/>
  <c r="B46" i="10"/>
  <c r="A46" i="10"/>
  <c r="D45" i="10"/>
  <c r="C45" i="10"/>
  <c r="B45" i="10"/>
  <c r="A45" i="10"/>
  <c r="D44" i="10"/>
  <c r="C44" i="10"/>
  <c r="B44" i="10"/>
  <c r="A44" i="10"/>
  <c r="D43" i="10"/>
  <c r="C43" i="10"/>
  <c r="B43" i="10"/>
  <c r="A43" i="10"/>
  <c r="D42" i="10"/>
  <c r="C42" i="10"/>
  <c r="B42" i="10"/>
  <c r="A42" i="10"/>
  <c r="D41" i="10"/>
  <c r="C41" i="10"/>
  <c r="B41" i="10"/>
  <c r="A41" i="10"/>
  <c r="D40" i="10"/>
  <c r="C40" i="10"/>
  <c r="B40" i="10"/>
  <c r="A40" i="10"/>
  <c r="D39" i="10"/>
  <c r="C39" i="10"/>
  <c r="B39" i="10"/>
  <c r="A39" i="10"/>
  <c r="D38" i="10"/>
  <c r="C38" i="10"/>
  <c r="B38" i="10"/>
  <c r="A38" i="10"/>
  <c r="D37" i="10"/>
  <c r="C37" i="10"/>
  <c r="B37" i="10"/>
  <c r="A37" i="10"/>
  <c r="D36" i="10"/>
  <c r="C36" i="10"/>
  <c r="B36" i="10"/>
  <c r="A36" i="10"/>
  <c r="D35" i="10"/>
  <c r="C35" i="10"/>
  <c r="B35" i="10"/>
  <c r="A35" i="10"/>
  <c r="D34" i="10"/>
  <c r="C34" i="10"/>
  <c r="B34" i="10"/>
  <c r="A34" i="10"/>
  <c r="D33" i="10"/>
  <c r="C33" i="10"/>
  <c r="B33" i="10"/>
  <c r="A33" i="10"/>
  <c r="D32" i="10"/>
  <c r="C32" i="10"/>
  <c r="B32" i="10"/>
  <c r="A32" i="10"/>
  <c r="D31" i="10"/>
  <c r="C31" i="10"/>
  <c r="B31" i="10"/>
  <c r="A31" i="10"/>
  <c r="D30" i="10"/>
  <c r="C30" i="10"/>
  <c r="B30" i="10"/>
  <c r="A30" i="10"/>
  <c r="D29" i="10"/>
  <c r="C29" i="10"/>
  <c r="B29" i="10"/>
  <c r="A29" i="10"/>
  <c r="D28" i="10"/>
  <c r="C28" i="10"/>
  <c r="B28" i="10"/>
  <c r="A28" i="10"/>
  <c r="D27" i="10"/>
  <c r="C27" i="10"/>
  <c r="B27" i="10"/>
  <c r="A27" i="10"/>
  <c r="D26" i="10"/>
  <c r="C26" i="10"/>
  <c r="B26" i="10"/>
  <c r="A26" i="10"/>
  <c r="D25" i="10"/>
  <c r="C25" i="10"/>
  <c r="B25" i="10"/>
  <c r="A25" i="10"/>
  <c r="D24" i="10"/>
  <c r="C24" i="10"/>
  <c r="B24" i="10"/>
  <c r="A24" i="10"/>
  <c r="D23" i="10"/>
  <c r="C23" i="10"/>
  <c r="B23" i="10"/>
  <c r="A23" i="10"/>
  <c r="D22" i="10"/>
  <c r="C22" i="10"/>
  <c r="B22" i="10"/>
  <c r="A22" i="10"/>
  <c r="D21" i="10"/>
  <c r="C21" i="10"/>
  <c r="B21" i="10"/>
  <c r="A21" i="10"/>
  <c r="D20" i="10"/>
  <c r="C20" i="10"/>
  <c r="B20" i="10"/>
  <c r="A20" i="10"/>
  <c r="D19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B18" i="9"/>
  <c r="B17" i="9"/>
  <c r="B16" i="9"/>
  <c r="B15" i="9"/>
  <c r="B14" i="9"/>
  <c r="B13" i="9"/>
  <c r="B12" i="9"/>
  <c r="B11" i="9"/>
  <c r="B10" i="9"/>
  <c r="B17" i="8"/>
  <c r="B16" i="8"/>
  <c r="B15" i="8"/>
  <c r="B14" i="8"/>
  <c r="B13" i="8"/>
  <c r="B12" i="8"/>
  <c r="B11" i="8"/>
  <c r="B10" i="8"/>
  <c r="B9" i="8"/>
  <c r="C21" i="7"/>
  <c r="C20" i="7"/>
  <c r="C19" i="7"/>
  <c r="C18" i="7"/>
  <c r="C17" i="7"/>
  <c r="C16" i="7"/>
  <c r="C15" i="7"/>
  <c r="C14" i="7"/>
  <c r="C13" i="7"/>
  <c r="F12" i="7"/>
  <c r="C12" i="7"/>
  <c r="C73" i="6"/>
  <c r="P73" i="6" s="1"/>
  <c r="C72" i="6"/>
  <c r="N72" i="6" s="1"/>
  <c r="E72" i="4" s="1"/>
  <c r="E73" i="10" s="1"/>
  <c r="C71" i="6"/>
  <c r="P71" i="6" s="1"/>
  <c r="C70" i="6"/>
  <c r="N70" i="6" s="1"/>
  <c r="C69" i="6"/>
  <c r="P69" i="6" s="1"/>
  <c r="C68" i="6"/>
  <c r="N68" i="6" s="1"/>
  <c r="E68" i="4" s="1"/>
  <c r="E69" i="10" s="1"/>
  <c r="C67" i="6"/>
  <c r="P67" i="6" s="1"/>
  <c r="C66" i="6"/>
  <c r="N66" i="6" s="1"/>
  <c r="E66" i="4" s="1"/>
  <c r="E67" i="10" s="1"/>
  <c r="C65" i="6"/>
  <c r="P65" i="6" s="1"/>
  <c r="C64" i="6"/>
  <c r="N64" i="6" s="1"/>
  <c r="C63" i="6"/>
  <c r="P63" i="6" s="1"/>
  <c r="C62" i="6"/>
  <c r="N62" i="6" s="1"/>
  <c r="C61" i="6"/>
  <c r="P61" i="6" s="1"/>
  <c r="C60" i="6"/>
  <c r="N60" i="6" s="1"/>
  <c r="E60" i="4" s="1"/>
  <c r="E61" i="10" s="1"/>
  <c r="C59" i="6"/>
  <c r="P59" i="6" s="1"/>
  <c r="C58" i="6"/>
  <c r="N58" i="6" s="1"/>
  <c r="E58" i="4" s="1"/>
  <c r="E59" i="10" s="1"/>
  <c r="C57" i="6"/>
  <c r="P57" i="6" s="1"/>
  <c r="C56" i="6"/>
  <c r="N56" i="6" s="1"/>
  <c r="C55" i="6"/>
  <c r="P55" i="6" s="1"/>
  <c r="C54" i="6"/>
  <c r="N54" i="6" s="1"/>
  <c r="C53" i="6"/>
  <c r="P53" i="6" s="1"/>
  <c r="C52" i="6"/>
  <c r="N52" i="6" s="1"/>
  <c r="E52" i="4" s="1"/>
  <c r="E53" i="10" s="1"/>
  <c r="C51" i="6"/>
  <c r="P51" i="6" s="1"/>
  <c r="C50" i="6"/>
  <c r="N50" i="6" s="1"/>
  <c r="C49" i="6"/>
  <c r="P49" i="6" s="1"/>
  <c r="C48" i="6"/>
  <c r="N48" i="6" s="1"/>
  <c r="E48" i="4" s="1"/>
  <c r="E49" i="10" s="1"/>
  <c r="C47" i="6"/>
  <c r="P47" i="6" s="1"/>
  <c r="C46" i="6"/>
  <c r="N46" i="6" s="1"/>
  <c r="C45" i="6"/>
  <c r="P45" i="6" s="1"/>
  <c r="C44" i="6"/>
  <c r="N44" i="6" s="1"/>
  <c r="E44" i="4" s="1"/>
  <c r="E45" i="10" s="1"/>
  <c r="C43" i="6"/>
  <c r="P43" i="6" s="1"/>
  <c r="C42" i="6"/>
  <c r="N42" i="6" s="1"/>
  <c r="E42" i="4" s="1"/>
  <c r="E43" i="10" s="1"/>
  <c r="C41" i="6"/>
  <c r="P41" i="6" s="1"/>
  <c r="C40" i="6"/>
  <c r="N40" i="6" s="1"/>
  <c r="C39" i="6"/>
  <c r="P39" i="6" s="1"/>
  <c r="C38" i="6"/>
  <c r="N38" i="6" s="1"/>
  <c r="C37" i="6"/>
  <c r="P37" i="6" s="1"/>
  <c r="C36" i="6"/>
  <c r="N36" i="6" s="1"/>
  <c r="C35" i="6"/>
  <c r="P35" i="6" s="1"/>
  <c r="C34" i="6"/>
  <c r="N34" i="6" s="1"/>
  <c r="E34" i="4" s="1"/>
  <c r="E35" i="10" s="1"/>
  <c r="C33" i="6"/>
  <c r="P33" i="6" s="1"/>
  <c r="C32" i="6"/>
  <c r="N32" i="6" s="1"/>
  <c r="C31" i="6"/>
  <c r="P31" i="6" s="1"/>
  <c r="C30" i="6"/>
  <c r="N30" i="6" s="1"/>
  <c r="C29" i="6"/>
  <c r="P29" i="6" s="1"/>
  <c r="C28" i="6"/>
  <c r="N28" i="6" s="1"/>
  <c r="C27" i="6"/>
  <c r="P27" i="6" s="1"/>
  <c r="C26" i="6"/>
  <c r="N26" i="6" s="1"/>
  <c r="E26" i="4" s="1"/>
  <c r="E27" i="10" s="1"/>
  <c r="C25" i="6"/>
  <c r="P25" i="6" s="1"/>
  <c r="C24" i="6"/>
  <c r="N24" i="6" s="1"/>
  <c r="C23" i="6"/>
  <c r="P23" i="6" s="1"/>
  <c r="C22" i="6"/>
  <c r="N22" i="6" s="1"/>
  <c r="C21" i="6"/>
  <c r="P21" i="6" s="1"/>
  <c r="C20" i="6"/>
  <c r="N20" i="6" s="1"/>
  <c r="E20" i="4" s="1"/>
  <c r="E21" i="10" s="1"/>
  <c r="C19" i="6"/>
  <c r="P19" i="6" s="1"/>
  <c r="C18" i="6"/>
  <c r="N18" i="6" s="1"/>
  <c r="E18" i="4" s="1"/>
  <c r="E19" i="10" s="1"/>
  <c r="C17" i="6"/>
  <c r="P17" i="6" s="1"/>
  <c r="C16" i="6"/>
  <c r="N16" i="6" s="1"/>
  <c r="C15" i="6"/>
  <c r="P15" i="6" s="1"/>
  <c r="C14" i="6"/>
  <c r="N14" i="6" s="1"/>
  <c r="C13" i="6"/>
  <c r="P13" i="6" s="1"/>
  <c r="C12" i="6"/>
  <c r="N12" i="6" s="1"/>
  <c r="C11" i="6"/>
  <c r="P11" i="6" s="1"/>
  <c r="C10" i="6"/>
  <c r="N10" i="6" s="1"/>
  <c r="C9" i="6"/>
  <c r="P9" i="6" s="1"/>
  <c r="C8" i="6"/>
  <c r="N8" i="6" s="1"/>
  <c r="D29" i="5"/>
  <c r="C29" i="5"/>
  <c r="B8" i="5"/>
  <c r="D74" i="4"/>
  <c r="H73" i="4"/>
  <c r="H72" i="4"/>
  <c r="H71" i="4"/>
  <c r="H70" i="4"/>
  <c r="E70" i="4"/>
  <c r="E71" i="10" s="1"/>
  <c r="H69" i="4"/>
  <c r="H68" i="4"/>
  <c r="H67" i="4"/>
  <c r="H66" i="4"/>
  <c r="H65" i="4"/>
  <c r="H64" i="4"/>
  <c r="E64" i="4"/>
  <c r="E65" i="10" s="1"/>
  <c r="H63" i="4"/>
  <c r="H62" i="4"/>
  <c r="E62" i="4"/>
  <c r="E63" i="10" s="1"/>
  <c r="H61" i="4"/>
  <c r="H60" i="4"/>
  <c r="H59" i="4"/>
  <c r="H58" i="4"/>
  <c r="H57" i="4"/>
  <c r="H56" i="4"/>
  <c r="E56" i="4"/>
  <c r="E57" i="10" s="1"/>
  <c r="H55" i="4"/>
  <c r="H54" i="4"/>
  <c r="E54" i="4"/>
  <c r="E55" i="10" s="1"/>
  <c r="H53" i="4"/>
  <c r="H52" i="4"/>
  <c r="H51" i="4"/>
  <c r="H50" i="4"/>
  <c r="E50" i="4"/>
  <c r="E51" i="10" s="1"/>
  <c r="H49" i="4"/>
  <c r="H48" i="4"/>
  <c r="H47" i="4"/>
  <c r="H46" i="4"/>
  <c r="E46" i="4"/>
  <c r="E47" i="10" s="1"/>
  <c r="H45" i="4"/>
  <c r="H44" i="4"/>
  <c r="H43" i="4"/>
  <c r="H42" i="4"/>
  <c r="H41" i="4"/>
  <c r="H40" i="4"/>
  <c r="E40" i="4"/>
  <c r="E41" i="10" s="1"/>
  <c r="H39" i="4"/>
  <c r="H38" i="4"/>
  <c r="E38" i="4"/>
  <c r="E39" i="10" s="1"/>
  <c r="H37" i="4"/>
  <c r="H36" i="4"/>
  <c r="E36" i="4"/>
  <c r="E37" i="10" s="1"/>
  <c r="H35" i="4"/>
  <c r="H34" i="4"/>
  <c r="H33" i="4"/>
  <c r="H32" i="4"/>
  <c r="E32" i="4"/>
  <c r="E33" i="10" s="1"/>
  <c r="H31" i="4"/>
  <c r="H30" i="4"/>
  <c r="E30" i="4"/>
  <c r="E31" i="10" s="1"/>
  <c r="H29" i="4"/>
  <c r="H28" i="4"/>
  <c r="E28" i="4"/>
  <c r="E29" i="10" s="1"/>
  <c r="H27" i="4"/>
  <c r="H26" i="4"/>
  <c r="H25" i="4"/>
  <c r="H24" i="4"/>
  <c r="E24" i="4"/>
  <c r="E25" i="10" s="1"/>
  <c r="H23" i="4"/>
  <c r="H22" i="4"/>
  <c r="E22" i="4"/>
  <c r="E23" i="10" s="1"/>
  <c r="H21" i="4"/>
  <c r="H20" i="4"/>
  <c r="H19" i="4"/>
  <c r="H18" i="4"/>
  <c r="H17" i="4"/>
  <c r="H16" i="4"/>
  <c r="E16" i="4"/>
  <c r="H15" i="4"/>
  <c r="H14" i="4"/>
  <c r="E14" i="4"/>
  <c r="E15" i="10" s="1"/>
  <c r="H13" i="4"/>
  <c r="H12" i="4"/>
  <c r="E12" i="4"/>
  <c r="E13" i="10" s="1"/>
  <c r="H11" i="4"/>
  <c r="H10" i="4"/>
  <c r="E10" i="4"/>
  <c r="E11" i="10" s="1"/>
  <c r="H9" i="4"/>
  <c r="A16" i="5" s="1"/>
  <c r="H8" i="4"/>
  <c r="A19" i="5" s="1"/>
  <c r="E8" i="4"/>
  <c r="D35" i="3"/>
  <c r="D31" i="3"/>
  <c r="D18" i="3"/>
  <c r="D17" i="3"/>
  <c r="D19" i="3" s="1"/>
  <c r="D26" i="3" s="1"/>
  <c r="D16" i="3"/>
  <c r="D11" i="3"/>
  <c r="D25" i="3" s="1"/>
  <c r="D10" i="3"/>
  <c r="D9" i="3"/>
  <c r="D8" i="3"/>
  <c r="D20" i="1"/>
  <c r="D19" i="1"/>
  <c r="D18" i="1"/>
  <c r="D28" i="3" l="1"/>
  <c r="E17" i="10"/>
  <c r="D13" i="7"/>
  <c r="E9" i="10"/>
  <c r="A23" i="5"/>
  <c r="A22" i="5"/>
  <c r="A21" i="5"/>
  <c r="A20" i="5"/>
  <c r="C6" i="5" s="1"/>
  <c r="A27" i="5"/>
  <c r="A26" i="5"/>
  <c r="A18" i="5"/>
  <c r="A25" i="5"/>
  <c r="A17" i="5"/>
  <c r="A24" i="5"/>
  <c r="O8" i="6"/>
  <c r="F8" i="4" s="1"/>
  <c r="O10" i="6"/>
  <c r="F10" i="4" s="1"/>
  <c r="F11" i="10" s="1"/>
  <c r="O12" i="6"/>
  <c r="F12" i="4" s="1"/>
  <c r="F13" i="10" s="1"/>
  <c r="O14" i="6"/>
  <c r="F14" i="4" s="1"/>
  <c r="F15" i="10" s="1"/>
  <c r="O16" i="6"/>
  <c r="F16" i="4" s="1"/>
  <c r="O18" i="6"/>
  <c r="F18" i="4" s="1"/>
  <c r="F19" i="10" s="1"/>
  <c r="O20" i="6"/>
  <c r="F20" i="4" s="1"/>
  <c r="F21" i="10" s="1"/>
  <c r="O22" i="6"/>
  <c r="F22" i="4" s="1"/>
  <c r="F23" i="10" s="1"/>
  <c r="O24" i="6"/>
  <c r="F24" i="4" s="1"/>
  <c r="F25" i="10" s="1"/>
  <c r="O26" i="6"/>
  <c r="F26" i="4" s="1"/>
  <c r="F27" i="10" s="1"/>
  <c r="O28" i="6"/>
  <c r="F28" i="4" s="1"/>
  <c r="F29" i="10" s="1"/>
  <c r="O30" i="6"/>
  <c r="F30" i="4" s="1"/>
  <c r="F31" i="10" s="1"/>
  <c r="O32" i="6"/>
  <c r="F32" i="4" s="1"/>
  <c r="F33" i="10" s="1"/>
  <c r="O34" i="6"/>
  <c r="F34" i="4" s="1"/>
  <c r="F35" i="10" s="1"/>
  <c r="O36" i="6"/>
  <c r="F36" i="4" s="1"/>
  <c r="F37" i="10" s="1"/>
  <c r="O38" i="6"/>
  <c r="F38" i="4" s="1"/>
  <c r="F39" i="10" s="1"/>
  <c r="O40" i="6"/>
  <c r="F40" i="4" s="1"/>
  <c r="F41" i="10" s="1"/>
  <c r="O42" i="6"/>
  <c r="F42" i="4" s="1"/>
  <c r="F43" i="10" s="1"/>
  <c r="O44" i="6"/>
  <c r="F44" i="4" s="1"/>
  <c r="F45" i="10" s="1"/>
  <c r="O46" i="6"/>
  <c r="F46" i="4" s="1"/>
  <c r="F47" i="10" s="1"/>
  <c r="O48" i="6"/>
  <c r="F48" i="4" s="1"/>
  <c r="F49" i="10" s="1"/>
  <c r="O50" i="6"/>
  <c r="F50" i="4" s="1"/>
  <c r="F51" i="10" s="1"/>
  <c r="O52" i="6"/>
  <c r="F52" i="4" s="1"/>
  <c r="F53" i="10" s="1"/>
  <c r="O54" i="6"/>
  <c r="F54" i="4" s="1"/>
  <c r="F55" i="10" s="1"/>
  <c r="O56" i="6"/>
  <c r="F56" i="4" s="1"/>
  <c r="F57" i="10" s="1"/>
  <c r="O58" i="6"/>
  <c r="F58" i="4" s="1"/>
  <c r="F59" i="10" s="1"/>
  <c r="O60" i="6"/>
  <c r="F60" i="4" s="1"/>
  <c r="F61" i="10" s="1"/>
  <c r="O62" i="6"/>
  <c r="F62" i="4" s="1"/>
  <c r="F63" i="10" s="1"/>
  <c r="O64" i="6"/>
  <c r="F64" i="4" s="1"/>
  <c r="F65" i="10" s="1"/>
  <c r="O66" i="6"/>
  <c r="F66" i="4" s="1"/>
  <c r="F67" i="10" s="1"/>
  <c r="O68" i="6"/>
  <c r="F68" i="4" s="1"/>
  <c r="F69" i="10" s="1"/>
  <c r="O70" i="6"/>
  <c r="F70" i="4" s="1"/>
  <c r="F71" i="10" s="1"/>
  <c r="O72" i="6"/>
  <c r="F72" i="4" s="1"/>
  <c r="F73" i="10" s="1"/>
  <c r="P8" i="6"/>
  <c r="P10" i="6"/>
  <c r="P12" i="6"/>
  <c r="P14" i="6"/>
  <c r="P16" i="6"/>
  <c r="P18" i="6"/>
  <c r="P20" i="6"/>
  <c r="P22" i="6"/>
  <c r="P24" i="6"/>
  <c r="P26" i="6"/>
  <c r="P28" i="6"/>
  <c r="P30" i="6"/>
  <c r="P32" i="6"/>
  <c r="P34" i="6"/>
  <c r="P36" i="6"/>
  <c r="P38" i="6"/>
  <c r="P40" i="6"/>
  <c r="P42" i="6"/>
  <c r="P44" i="6"/>
  <c r="P46" i="6"/>
  <c r="P48" i="6"/>
  <c r="P50" i="6"/>
  <c r="P52" i="6"/>
  <c r="P54" i="6"/>
  <c r="P56" i="6"/>
  <c r="P58" i="6"/>
  <c r="P60" i="6"/>
  <c r="P62" i="6"/>
  <c r="P64" i="6"/>
  <c r="P66" i="6"/>
  <c r="P68" i="6"/>
  <c r="P70" i="6"/>
  <c r="P72" i="6"/>
  <c r="N9" i="6"/>
  <c r="N11" i="6"/>
  <c r="E11" i="4" s="1"/>
  <c r="E12" i="10" s="1"/>
  <c r="N13" i="6"/>
  <c r="E13" i="4" s="1"/>
  <c r="E14" i="10" s="1"/>
  <c r="N15" i="6"/>
  <c r="E15" i="4" s="1"/>
  <c r="E16" i="10" s="1"/>
  <c r="N17" i="6"/>
  <c r="E17" i="4" s="1"/>
  <c r="E18" i="10" s="1"/>
  <c r="N19" i="6"/>
  <c r="E19" i="4" s="1"/>
  <c r="E20" i="10" s="1"/>
  <c r="N21" i="6"/>
  <c r="E21" i="4" s="1"/>
  <c r="E22" i="10" s="1"/>
  <c r="N23" i="6"/>
  <c r="E23" i="4" s="1"/>
  <c r="E24" i="10" s="1"/>
  <c r="N25" i="6"/>
  <c r="E25" i="4" s="1"/>
  <c r="N27" i="6"/>
  <c r="E27" i="4" s="1"/>
  <c r="E28" i="10" s="1"/>
  <c r="N29" i="6"/>
  <c r="E29" i="4" s="1"/>
  <c r="E30" i="10" s="1"/>
  <c r="N31" i="6"/>
  <c r="E31" i="4" s="1"/>
  <c r="E32" i="10" s="1"/>
  <c r="N33" i="6"/>
  <c r="E33" i="4" s="1"/>
  <c r="E34" i="10" s="1"/>
  <c r="N35" i="6"/>
  <c r="E35" i="4" s="1"/>
  <c r="N37" i="6"/>
  <c r="E37" i="4" s="1"/>
  <c r="E38" i="10" s="1"/>
  <c r="N39" i="6"/>
  <c r="E39" i="4" s="1"/>
  <c r="E40" i="10" s="1"/>
  <c r="N41" i="6"/>
  <c r="E41" i="4" s="1"/>
  <c r="N43" i="6"/>
  <c r="E43" i="4" s="1"/>
  <c r="E44" i="10" s="1"/>
  <c r="N45" i="6"/>
  <c r="E45" i="4" s="1"/>
  <c r="E46" i="10" s="1"/>
  <c r="N47" i="6"/>
  <c r="E47" i="4" s="1"/>
  <c r="N49" i="6"/>
  <c r="E49" i="4" s="1"/>
  <c r="E50" i="10" s="1"/>
  <c r="N51" i="6"/>
  <c r="E51" i="4" s="1"/>
  <c r="E52" i="10" s="1"/>
  <c r="N53" i="6"/>
  <c r="E53" i="4" s="1"/>
  <c r="N55" i="6"/>
  <c r="E55" i="4" s="1"/>
  <c r="E56" i="10" s="1"/>
  <c r="N57" i="6"/>
  <c r="E57" i="4" s="1"/>
  <c r="E58" i="10" s="1"/>
  <c r="N59" i="6"/>
  <c r="E59" i="4" s="1"/>
  <c r="E60" i="10" s="1"/>
  <c r="N61" i="6"/>
  <c r="E61" i="4" s="1"/>
  <c r="N63" i="6"/>
  <c r="E63" i="4" s="1"/>
  <c r="E64" i="10" s="1"/>
  <c r="N65" i="6"/>
  <c r="E65" i="4" s="1"/>
  <c r="E66" i="10" s="1"/>
  <c r="N67" i="6"/>
  <c r="E67" i="4" s="1"/>
  <c r="E68" i="10" s="1"/>
  <c r="N69" i="6"/>
  <c r="E69" i="4" s="1"/>
  <c r="N71" i="6"/>
  <c r="E71" i="4" s="1"/>
  <c r="E72" i="10" s="1"/>
  <c r="N73" i="6"/>
  <c r="E73" i="4" s="1"/>
  <c r="E74" i="10" s="1"/>
  <c r="O9" i="6"/>
  <c r="F9" i="4" s="1"/>
  <c r="F10" i="10" s="1"/>
  <c r="O11" i="6"/>
  <c r="F11" i="4" s="1"/>
  <c r="F12" i="10" s="1"/>
  <c r="O13" i="6"/>
  <c r="F13" i="4" s="1"/>
  <c r="F14" i="10" s="1"/>
  <c r="O15" i="6"/>
  <c r="F15" i="4" s="1"/>
  <c r="F16" i="10" s="1"/>
  <c r="O17" i="6"/>
  <c r="F17" i="4" s="1"/>
  <c r="F18" i="10" s="1"/>
  <c r="O19" i="6"/>
  <c r="F19" i="4" s="1"/>
  <c r="F20" i="10" s="1"/>
  <c r="O21" i="6"/>
  <c r="F21" i="4" s="1"/>
  <c r="F22" i="10" s="1"/>
  <c r="O23" i="6"/>
  <c r="F23" i="4" s="1"/>
  <c r="F24" i="10" s="1"/>
  <c r="O25" i="6"/>
  <c r="F25" i="4" s="1"/>
  <c r="O27" i="6"/>
  <c r="F27" i="4" s="1"/>
  <c r="F28" i="10" s="1"/>
  <c r="O29" i="6"/>
  <c r="F29" i="4" s="1"/>
  <c r="F30" i="10" s="1"/>
  <c r="O31" i="6"/>
  <c r="F31" i="4" s="1"/>
  <c r="F32" i="10" s="1"/>
  <c r="O33" i="6"/>
  <c r="F33" i="4" s="1"/>
  <c r="F34" i="10" s="1"/>
  <c r="O35" i="6"/>
  <c r="F35" i="4" s="1"/>
  <c r="O37" i="6"/>
  <c r="F37" i="4" s="1"/>
  <c r="F38" i="10" s="1"/>
  <c r="O39" i="6"/>
  <c r="F39" i="4" s="1"/>
  <c r="F40" i="10" s="1"/>
  <c r="O41" i="6"/>
  <c r="F41" i="4" s="1"/>
  <c r="O43" i="6"/>
  <c r="F43" i="4" s="1"/>
  <c r="F44" i="10" s="1"/>
  <c r="O45" i="6"/>
  <c r="F45" i="4" s="1"/>
  <c r="F46" i="10" s="1"/>
  <c r="O47" i="6"/>
  <c r="F47" i="4" s="1"/>
  <c r="O49" i="6"/>
  <c r="F49" i="4" s="1"/>
  <c r="F50" i="10" s="1"/>
  <c r="O51" i="6"/>
  <c r="F51" i="4" s="1"/>
  <c r="F52" i="10" s="1"/>
  <c r="O53" i="6"/>
  <c r="F53" i="4" s="1"/>
  <c r="O55" i="6"/>
  <c r="F55" i="4" s="1"/>
  <c r="F56" i="10" s="1"/>
  <c r="O57" i="6"/>
  <c r="F57" i="4" s="1"/>
  <c r="F58" i="10" s="1"/>
  <c r="O59" i="6"/>
  <c r="F59" i="4" s="1"/>
  <c r="F60" i="10" s="1"/>
  <c r="O61" i="6"/>
  <c r="F61" i="4" s="1"/>
  <c r="O63" i="6"/>
  <c r="F63" i="4" s="1"/>
  <c r="F64" i="10" s="1"/>
  <c r="O65" i="6"/>
  <c r="F65" i="4" s="1"/>
  <c r="F66" i="10" s="1"/>
  <c r="O67" i="6"/>
  <c r="F67" i="4" s="1"/>
  <c r="F68" i="10" s="1"/>
  <c r="O69" i="6"/>
  <c r="F69" i="4" s="1"/>
  <c r="O71" i="6"/>
  <c r="F71" i="4" s="1"/>
  <c r="F72" i="10" s="1"/>
  <c r="O73" i="6"/>
  <c r="F73" i="4" s="1"/>
  <c r="F74" i="10" s="1"/>
  <c r="E12" i="7" l="1"/>
  <c r="G12" i="7" s="1"/>
  <c r="F9" i="10"/>
  <c r="D19" i="7"/>
  <c r="E62" i="10"/>
  <c r="E13" i="7"/>
  <c r="F17" i="10"/>
  <c r="E74" i="4"/>
  <c r="F42" i="10"/>
  <c r="E16" i="7"/>
  <c r="F26" i="10"/>
  <c r="E14" i="7"/>
  <c r="D5" i="7"/>
  <c r="F54" i="10"/>
  <c r="E18" i="7"/>
  <c r="D11" i="9"/>
  <c r="C11" i="9"/>
  <c r="C10" i="8"/>
  <c r="E26" i="10"/>
  <c r="D14" i="7"/>
  <c r="F70" i="10"/>
  <c r="E20" i="7"/>
  <c r="D16" i="7"/>
  <c r="E42" i="10"/>
  <c r="E15" i="7"/>
  <c r="F36" i="10"/>
  <c r="E70" i="10"/>
  <c r="D20" i="7"/>
  <c r="E54" i="10"/>
  <c r="D18" i="7"/>
  <c r="D15" i="7"/>
  <c r="E36" i="10"/>
  <c r="E75" i="10" s="1"/>
  <c r="E17" i="7"/>
  <c r="F48" i="10"/>
  <c r="D21" i="1"/>
  <c r="E9" i="4"/>
  <c r="E10" i="10" s="1"/>
  <c r="E19" i="7"/>
  <c r="F62" i="10"/>
  <c r="D17" i="7"/>
  <c r="E48" i="10"/>
  <c r="D12" i="7"/>
  <c r="D15" i="9" l="1"/>
  <c r="C15" i="9"/>
  <c r="C14" i="8"/>
  <c r="D13" i="9"/>
  <c r="C13" i="9"/>
  <c r="C12" i="8"/>
  <c r="D14" i="9"/>
  <c r="C14" i="9"/>
  <c r="C13" i="8"/>
  <c r="C15" i="8"/>
  <c r="D16" i="9"/>
  <c r="C16" i="9"/>
  <c r="D18" i="9"/>
  <c r="C18" i="9"/>
  <c r="C17" i="8"/>
  <c r="C11" i="8"/>
  <c r="D12" i="9"/>
  <c r="C12" i="9"/>
  <c r="D6" i="7"/>
  <c r="D27" i="1" s="1"/>
  <c r="D26" i="1"/>
  <c r="D29" i="3"/>
  <c r="D17" i="9"/>
  <c r="C17" i="9"/>
  <c r="C16" i="8"/>
  <c r="E10" i="8"/>
  <c r="E11" i="9" s="1"/>
  <c r="D10" i="8"/>
  <c r="D10" i="9"/>
  <c r="C10" i="9"/>
  <c r="C9" i="8"/>
  <c r="D21" i="7"/>
  <c r="F10" i="9"/>
  <c r="F9" i="8"/>
  <c r="F13" i="7"/>
  <c r="G13" i="7" s="1"/>
  <c r="F14" i="7" l="1"/>
  <c r="G14" i="7" s="1"/>
  <c r="F11" i="9"/>
  <c r="F10" i="8"/>
  <c r="G10" i="8" s="1"/>
  <c r="G9" i="8"/>
  <c r="D9" i="8"/>
  <c r="E9" i="8" s="1"/>
  <c r="C18" i="8"/>
  <c r="D11" i="8"/>
  <c r="E11" i="8" s="1"/>
  <c r="E12" i="9" s="1"/>
  <c r="D14" i="8"/>
  <c r="E14" i="8" s="1"/>
  <c r="E15" i="9" s="1"/>
  <c r="E16" i="8"/>
  <c r="E17" i="9" s="1"/>
  <c r="D16" i="8"/>
  <c r="D12" i="8"/>
  <c r="E12" i="8" s="1"/>
  <c r="E13" i="9" s="1"/>
  <c r="D15" i="8"/>
  <c r="E15" i="8" s="1"/>
  <c r="E16" i="9" s="1"/>
  <c r="D17" i="8"/>
  <c r="E17" i="8" s="1"/>
  <c r="E18" i="9" s="1"/>
  <c r="D13" i="8"/>
  <c r="E13" i="8" s="1"/>
  <c r="E14" i="9" s="1"/>
  <c r="E10" i="9" l="1"/>
  <c r="E18" i="8"/>
  <c r="D18" i="8"/>
  <c r="F15" i="7"/>
  <c r="G15" i="7" s="1"/>
  <c r="F12" i="9"/>
  <c r="F11" i="8"/>
  <c r="G11" i="8" s="1"/>
  <c r="F13" i="9" l="1"/>
  <c r="F16" i="7"/>
  <c r="G16" i="7" s="1"/>
  <c r="F12" i="8"/>
  <c r="G12" i="8" s="1"/>
  <c r="F14" i="9" l="1"/>
  <c r="F13" i="8"/>
  <c r="G13" i="8" s="1"/>
  <c r="F17" i="7"/>
  <c r="G17" i="7" s="1"/>
  <c r="F15" i="9" l="1"/>
  <c r="F14" i="8"/>
  <c r="G14" i="8" s="1"/>
  <c r="F18" i="7"/>
  <c r="G18" i="7" s="1"/>
  <c r="F16" i="9" l="1"/>
  <c r="F15" i="8"/>
  <c r="G15" i="8" s="1"/>
  <c r="F19" i="7"/>
  <c r="G19" i="7" s="1"/>
  <c r="F20" i="7" l="1"/>
  <c r="G20" i="7" s="1"/>
  <c r="F17" i="9"/>
  <c r="F16" i="8"/>
  <c r="G16" i="8" s="1"/>
  <c r="G21" i="7"/>
  <c r="D7" i="7" s="1"/>
  <c r="D8" i="7" l="1"/>
  <c r="D28" i="1"/>
  <c r="G11" i="9"/>
  <c r="F18" i="9"/>
  <c r="G17" i="9" s="1"/>
  <c r="F17" i="8"/>
  <c r="G17" i="8" s="1"/>
  <c r="G12" i="9" l="1"/>
  <c r="G18" i="9"/>
  <c r="G14" i="9"/>
  <c r="G16" i="9"/>
  <c r="G10" i="9"/>
  <c r="G15" i="9"/>
  <c r="G13" i="9"/>
  <c r="D30" i="3"/>
  <c r="D33" i="3"/>
  <c r="F20" i="9" l="1"/>
  <c r="F21" i="9" s="1"/>
  <c r="D29" i="1" s="1"/>
  <c r="D36" i="3"/>
  <c r="D25" i="1"/>
</calcChain>
</file>

<file path=xl/sharedStrings.xml><?xml version="1.0" encoding="utf-8"?>
<sst xmlns="http://schemas.openxmlformats.org/spreadsheetml/2006/main" count="609" uniqueCount="307">
  <si>
    <t>hona</t>
  </si>
  <si>
    <t>THE FIX &amp; FLIP WORKBOOK</t>
  </si>
  <si>
    <t>Run a flip without having run one before.</t>
  </si>
  <si>
    <t>Answer the questions on Your Deal. Put six sold houses on Comps. Untick what this house does not need on Scope &amp; Phases. Send the Bid Request to subs and type back what they quote. Everything else fills itself in.</t>
  </si>
  <si>
    <t>WHERE YOU ARE</t>
  </si>
  <si>
    <t>Step</t>
  </si>
  <si>
    <t>What it is</t>
  </si>
  <si>
    <t>Done</t>
  </si>
  <si>
    <t>1.  Your Deal</t>
  </si>
  <si>
    <t>Fourteen questions about the house, the money and your terms.</t>
  </si>
  <si>
    <t>14</t>
  </si>
  <si>
    <t>2.  Comps &amp; Buy Box</t>
  </si>
  <si>
    <t>Three sold as-is, three sold renovated. Gives you your ceiling.</t>
  </si>
  <si>
    <t>6</t>
  </si>
  <si>
    <t>3.  Scope &amp; Phases</t>
  </si>
  <si>
    <t>Untick anything this house does not need.</t>
  </si>
  <si>
    <t>jobs</t>
  </si>
  <si>
    <t>4.  Bid Comparison</t>
  </si>
  <si>
    <t>What each sub quoted — price and days.</t>
  </si>
  <si>
    <t>priced</t>
  </si>
  <si>
    <t>WHAT IT TELLS YOU</t>
  </si>
  <si>
    <t>Most you should pay</t>
  </si>
  <si>
    <t>Rehab budget from your bids</t>
  </si>
  <si>
    <t>Cost per square foot</t>
  </si>
  <si>
    <t>Days on site</t>
  </si>
  <si>
    <t>Extra cash you need between draws</t>
  </si>
  <si>
    <t>Blue cells are yours to fill in.  Grey cells calculate themselves — leave them alone.</t>
  </si>
  <si>
    <t>Need help?  Email support@honafinancial.com with any question about this workbook.</t>
  </si>
  <si>
    <t>When the numbers are right, the last sheet hands your project straight to Hona — and every receipt you scan lands against them.   honafinancial.com</t>
  </si>
  <si>
    <t>Your Deal</t>
  </si>
  <si>
    <t>Answer these in order. Everything else in this workbook fills itself in.</t>
  </si>
  <si>
    <t>THE PROPERTY</t>
  </si>
  <si>
    <t>1.  Property address</t>
  </si>
  <si>
    <t>1421 E Cloud Rd, Queen Creek AZ</t>
  </si>
  <si>
    <t xml:space="preserve">     Street, city, state</t>
  </si>
  <si>
    <t>2.  Square footage</t>
  </si>
  <si>
    <t xml:space="preserve">     Heated and cooled area only</t>
  </si>
  <si>
    <t>3.  What are you paying for it?</t>
  </si>
  <si>
    <t xml:space="preserve">     Purchase price. Leave blank if you have not offered yet.</t>
  </si>
  <si>
    <t>4.  How rough is it?</t>
  </si>
  <si>
    <t>Medium</t>
  </si>
  <si>
    <t xml:space="preserve">     Light / Medium / Heavy / Rebuild — this pre-ticks your scope</t>
  </si>
  <si>
    <t>THE MONEY</t>
  </si>
  <si>
    <t>5.  How much are you borrowing?</t>
  </si>
  <si>
    <t xml:space="preserve">     Total loan amount including rehab draws</t>
  </si>
  <si>
    <t>6.  Interest rate</t>
  </si>
  <si>
    <t xml:space="preserve">     Annual rate, e.g. 11.5%</t>
  </si>
  <si>
    <t>7.  Points</t>
  </si>
  <si>
    <t xml:space="preserve">     Origination points charged at closing</t>
  </si>
  <si>
    <t>8.  Days from draw request until your lender funds</t>
  </si>
  <si>
    <t xml:space="preserve">     Ask them. This drives how much cash you carry.</t>
  </si>
  <si>
    <t>9.  How much of your own cash can you put in?</t>
  </si>
  <si>
    <t xml:space="preserve">     Cash available for deposits and carry, not the down payment</t>
  </si>
  <si>
    <t>YOUR TERMS</t>
  </si>
  <si>
    <t>10.  When do you start?</t>
  </si>
  <si>
    <t xml:space="preserve">     First day of work on site</t>
  </si>
  <si>
    <t>11.  What do subs get up front?</t>
  </si>
  <si>
    <t xml:space="preserve">     Arizona residential standard is 50% down, 50% on completion</t>
  </si>
  <si>
    <t>12.  Does your lender hold back a retainage?</t>
  </si>
  <si>
    <t xml:space="preserve">     Percentage held from each draw until completion</t>
  </si>
  <si>
    <t>13.  Selling costs when you exit</t>
  </si>
  <si>
    <t xml:space="preserve">     Agent commission plus closing. 8% is a common default.</t>
  </si>
  <si>
    <t>14.  What profit are you aiming for?</t>
  </si>
  <si>
    <t xml:space="preserve">     Your number, not a formula. This sets your maximum offer.</t>
  </si>
  <si>
    <t>Everything above is filled in with an example deal so you can see how it works. Replace it with yours.</t>
  </si>
  <si>
    <t>Comps &amp; Buy Box</t>
  </si>
  <si>
    <t>Six sales tell you what this house is worth now, what it is worth finished, and the most you should pay.</t>
  </si>
  <si>
    <t>AS-IS COMPARABLES  —  WHAT HOUSES LIKE THIS SELL FOR BEFORE ANYONE TOUCHES THEM</t>
  </si>
  <si>
    <t>Address</t>
  </si>
  <si>
    <t>Sq ft</t>
  </si>
  <si>
    <t>Sold price</t>
  </si>
  <si>
    <t>$ / sq ft</t>
  </si>
  <si>
    <t>Notes</t>
  </si>
  <si>
    <t>1188 E Silver Creek Rd</t>
  </si>
  <si>
    <t>Sold as-is, dated kitchen</t>
  </si>
  <si>
    <t>22410 S 213th St</t>
  </si>
  <si>
    <t>Estate sale, original baths</t>
  </si>
  <si>
    <t>1640 W Kingman Loop</t>
  </si>
  <si>
    <t>Investor purchase, roof issue</t>
  </si>
  <si>
    <t>Average $ / sq ft</t>
  </si>
  <si>
    <t>FINISHED COMPARABLES  —  WHAT HOUSES LIKE THIS SELL FOR RENOVATED  (YOUR ARV)</t>
  </si>
  <si>
    <t>1355 E Cloud Rd</t>
  </si>
  <si>
    <t>Full reno, quartz + LVP</t>
  </si>
  <si>
    <t>22188 S 214th Way</t>
  </si>
  <si>
    <t>Updated 2025, new HVAC</t>
  </si>
  <si>
    <t>1502 W Kingman Loop</t>
  </si>
  <si>
    <t>Reno + pool resurface</t>
  </si>
  <si>
    <t>THE BUY BOX  —  THE MOST YOU SHOULD PAY FOR THIS HOUSE</t>
  </si>
  <si>
    <t>Walk a neighborhood, type a square footage above, and this tells you your ceiling before you make an offer.</t>
  </si>
  <si>
    <t>Estimated as-is value</t>
  </si>
  <si>
    <t>Estimated ARV  (finished value)</t>
  </si>
  <si>
    <t>Less  selling costs</t>
  </si>
  <si>
    <t>Less  rehab budget</t>
  </si>
  <si>
    <t>Less  loan carry and points</t>
  </si>
  <si>
    <t>Less  your target profit</t>
  </si>
  <si>
    <t>MAXIMUM YOU SHOULD PAY</t>
  </si>
  <si>
    <t>You are paying</t>
  </si>
  <si>
    <t>Under / (over) your ceiling</t>
  </si>
  <si>
    <t>Green means the deal clears your profit target at these numbers. Red means it does not.</t>
  </si>
  <si>
    <t>Scope &amp; Phases</t>
  </si>
  <si>
    <t>Everything a flip can need is already listed. Untick what this house does not.</t>
  </si>
  <si>
    <t>Pre-ticked for a medium-scope flip.  Put an x to include a job, clear the cell to drop it.  Budget and days fill in from your bids.</t>
  </si>
  <si>
    <t>Ph</t>
  </si>
  <si>
    <t>Phase</t>
  </si>
  <si>
    <t>Category</t>
  </si>
  <si>
    <t>Use?</t>
  </si>
  <si>
    <t>Budget</t>
  </si>
  <si>
    <t>Days</t>
  </si>
  <si>
    <t>A</t>
  </si>
  <si>
    <t>Pre-Construction &amp; General Conditions</t>
  </si>
  <si>
    <t>Permits &amp; Plan Review</t>
  </si>
  <si>
    <t>x</t>
  </si>
  <si>
    <t>Design &amp; Drafting</t>
  </si>
  <si>
    <t>Feasibility &amp; Inspections</t>
  </si>
  <si>
    <t>Impact &amp; Utility Connection Fees</t>
  </si>
  <si>
    <t>Insurance</t>
  </si>
  <si>
    <t>Utility Setup &amp; Deposits</t>
  </si>
  <si>
    <t>General Conditions &amp; Supervision</t>
  </si>
  <si>
    <t>Contingency Reserve</t>
  </si>
  <si>
    <t>1</t>
  </si>
  <si>
    <t>Demolition, Foundation &amp; Underground</t>
  </si>
  <si>
    <t>Mobilization</t>
  </si>
  <si>
    <t>Hazmat Abatement</t>
  </si>
  <si>
    <t>Selective Demolition</t>
  </si>
  <si>
    <t>Excavation &amp; Grading</t>
  </si>
  <si>
    <t>Foundation &amp; Slab</t>
  </si>
  <si>
    <t>Underground Plumbing</t>
  </si>
  <si>
    <t>Septic</t>
  </si>
  <si>
    <t>Underground Electrical &amp; Service</t>
  </si>
  <si>
    <t>Pest &amp; Soil Treatment</t>
  </si>
  <si>
    <t>2</t>
  </si>
  <si>
    <t>Framing, Roofing &amp; Rough MEP</t>
  </si>
  <si>
    <t>Framing Labor</t>
  </si>
  <si>
    <t>Framing Material</t>
  </si>
  <si>
    <t>Structural Steel &amp; Beams</t>
  </si>
  <si>
    <t>Roofing</t>
  </si>
  <si>
    <t>Windows &amp; Exterior Doors</t>
  </si>
  <si>
    <t>Rough Plumbing</t>
  </si>
  <si>
    <t>Rough Electrical</t>
  </si>
  <si>
    <t>Rough HVAC</t>
  </si>
  <si>
    <t>Low Voltage Rough</t>
  </si>
  <si>
    <t>Rough Inspections</t>
  </si>
  <si>
    <t>3</t>
  </si>
  <si>
    <t>Insulation, Drywall, Doors, Trim &amp; Paint</t>
  </si>
  <si>
    <t>Insulation</t>
  </si>
  <si>
    <t>Drywall</t>
  </si>
  <si>
    <t>Interior Doors</t>
  </si>
  <si>
    <t>Trim &amp; Millwork</t>
  </si>
  <si>
    <t>Stairs &amp; Railings</t>
  </si>
  <si>
    <t>Interior Paint</t>
  </si>
  <si>
    <t>4</t>
  </si>
  <si>
    <t>Cabinets &amp; Countertops</t>
  </si>
  <si>
    <t>Kitchen Cabinets</t>
  </si>
  <si>
    <t>Bath Vanities</t>
  </si>
  <si>
    <t>Laundry &amp; Utility Cabinets</t>
  </si>
  <si>
    <t>Closet Systems</t>
  </si>
  <si>
    <t>Countertops</t>
  </si>
  <si>
    <t>Cabinet Hardware</t>
  </si>
  <si>
    <t>5</t>
  </si>
  <si>
    <t>Tile &amp; Flooring</t>
  </si>
  <si>
    <t>Floor Prep &amp; Leveling</t>
  </si>
  <si>
    <t>Floor Tile</t>
  </si>
  <si>
    <t>Shower &amp; Tub Surround Tile</t>
  </si>
  <si>
    <t>Backsplash Tile</t>
  </si>
  <si>
    <t>LVP / Hardwood / Laminate</t>
  </si>
  <si>
    <t>Grout, Sealer &amp; Trim Pieces</t>
  </si>
  <si>
    <t>Exterior &amp; Landscaping</t>
  </si>
  <si>
    <t>Stucco / Siding</t>
  </si>
  <si>
    <t>Fascia, Soffit &amp; Gutters</t>
  </si>
  <si>
    <t>Driveway, Walkway &amp; Hardscape</t>
  </si>
  <si>
    <t>Fencing &amp; Gates</t>
  </si>
  <si>
    <t>Pool Repair &amp; Resurface</t>
  </si>
  <si>
    <t>Exterior Paint</t>
  </si>
  <si>
    <t>Exterior Lighting</t>
  </si>
  <si>
    <t>Landscaping</t>
  </si>
  <si>
    <t>7</t>
  </si>
  <si>
    <t>MEP Finishes, Glass &amp; Appliances</t>
  </si>
  <si>
    <t>Plumbing Trim</t>
  </si>
  <si>
    <t>Electrical Trim</t>
  </si>
  <si>
    <t>HVAC Start-up &amp; Registers</t>
  </si>
  <si>
    <t>Shower Glass &amp; Mirrors</t>
  </si>
  <si>
    <t>Bath Accessories</t>
  </si>
  <si>
    <t>Appliances</t>
  </si>
  <si>
    <t>Garage Door &amp; Opener</t>
  </si>
  <si>
    <t>Life Safety &amp; Final Inspections</t>
  </si>
  <si>
    <t>8</t>
  </si>
  <si>
    <t>Punch, Carpet &amp; Final Clean</t>
  </si>
  <si>
    <t>Punch List &amp; Touch-up</t>
  </si>
  <si>
    <t>Carpet</t>
  </si>
  <si>
    <t>Final Clean</t>
  </si>
  <si>
    <t>Staging</t>
  </si>
  <si>
    <t>Warranty &amp; Callback Reserve</t>
  </si>
  <si>
    <t>Jobs included</t>
  </si>
  <si>
    <t>Bid Request</t>
  </si>
  <si>
    <t>A — Pre-Construction &amp; General Conditions</t>
  </si>
  <si>
    <t>Pick a phase, print this page, hand it to a sub. They fill in price and days.</t>
  </si>
  <si>
    <t>1 — Demolition, Foundation &amp; Underground</t>
  </si>
  <si>
    <t>2 — Framing, Roofing &amp; Rough MEP</t>
  </si>
  <si>
    <t>3 — Insulation, Drywall, Doors, Trim &amp; Paint</t>
  </si>
  <si>
    <t>4 — Cabinets &amp; Countertops</t>
  </si>
  <si>
    <t>Which phase are you sending out?</t>
  </si>
  <si>
    <t>5 — Tile &amp; Flooring</t>
  </si>
  <si>
    <t xml:space="preserve">     Opens your mail app with the whole request written. Add their address and send.</t>
  </si>
  <si>
    <t>6 — Exterior &amp; Landscaping</t>
  </si>
  <si>
    <t>Property</t>
  </si>
  <si>
    <t>7 — MEP Finishes, Glass &amp; Appliances</t>
  </si>
  <si>
    <t>Contractor / sub</t>
  </si>
  <si>
    <t>8 — Punch, Carpet &amp; Final Clean</t>
  </si>
  <si>
    <t>Date sent</t>
  </si>
  <si>
    <t>Please return by</t>
  </si>
  <si>
    <t>SCOPE OF WORK</t>
  </si>
  <si>
    <t>Describe the work  (you fill this in)</t>
  </si>
  <si>
    <t>Your price</t>
  </si>
  <si>
    <t>TOTAL BID</t>
  </si>
  <si>
    <t>TERMS</t>
  </si>
  <si>
    <t>•  Deposit at start of work: this project pays a deposit, with the balance due on completion.</t>
  </si>
  <si>
    <t>•  Days above are calendar days from the day you start, not working days.</t>
  </si>
  <si>
    <t>•  Price is for labor and materials unless you note otherwise in the description.</t>
  </si>
  <si>
    <t>•  A signed lien waiver is required with each payment.</t>
  </si>
  <si>
    <t>Questions about this request?  support@honafinancial.com</t>
  </si>
  <si>
    <t>Bid Comparison</t>
  </si>
  <si>
    <t>Type in what each sub quoted. The cheapest is used unless you pick another.</t>
  </si>
  <si>
    <t>One bid gets you a budget. Three gets you the truth. Days come from the sub, not from you — leave Days at 0 for anything that runs the whole job, like supervision, insurance or a reserve.</t>
  </si>
  <si>
    <t>Bid 1 — company</t>
  </si>
  <si>
    <t>Bid 1 $</t>
  </si>
  <si>
    <t>Bid 2 — company</t>
  </si>
  <si>
    <t>Bid 2 $</t>
  </si>
  <si>
    <t>Bid 3 — company</t>
  </si>
  <si>
    <t>Bid 3 $</t>
  </si>
  <si>
    <t>Pick</t>
  </si>
  <si>
    <t>Chosen $</t>
  </si>
  <si>
    <t>Chosen sub</t>
  </si>
  <si>
    <t>City of Queen Creek</t>
  </si>
  <si>
    <t>Hartford</t>
  </si>
  <si>
    <t>Demo Pros LLC</t>
  </si>
  <si>
    <t>Framing Done Right LLC</t>
  </si>
  <si>
    <t>84 Lumber</t>
  </si>
  <si>
    <t>Sun Valley Roofing</t>
  </si>
  <si>
    <t>Desert Ridge Roofing</t>
  </si>
  <si>
    <t>AZ Peak Roofing</t>
  </si>
  <si>
    <t>Arcadia Glass Co</t>
  </si>
  <si>
    <t>Copperline Plumbing</t>
  </si>
  <si>
    <t>Voltz Electric</t>
  </si>
  <si>
    <t>Mesa Sparks LLC</t>
  </si>
  <si>
    <t>Rincon Electrical</t>
  </si>
  <si>
    <t>Sonoran Air</t>
  </si>
  <si>
    <t>Valley Insulation</t>
  </si>
  <si>
    <t>Level 5 Drywall</t>
  </si>
  <si>
    <t>Smooth Wall Co</t>
  </si>
  <si>
    <t>Canyon Drywall</t>
  </si>
  <si>
    <t>Brushworks AZ</t>
  </si>
  <si>
    <t>Copper State Cabinets</t>
  </si>
  <si>
    <t>Mesa Cabinet Works</t>
  </si>
  <si>
    <t>Sundance Millwork</t>
  </si>
  <si>
    <t>Stone Age Surfaces</t>
  </si>
  <si>
    <t>Tile Team LLC</t>
  </si>
  <si>
    <t>Desert Floors</t>
  </si>
  <si>
    <t>Legacy Flooring</t>
  </si>
  <si>
    <t>Saguaro Surfaces</t>
  </si>
  <si>
    <t>Adobe Stucco Co</t>
  </si>
  <si>
    <t>Gilbert Painting</t>
  </si>
  <si>
    <t>Red Rock Coatings</t>
  </si>
  <si>
    <t>Verde Landscape</t>
  </si>
  <si>
    <t>Cactus Creek Outdoor</t>
  </si>
  <si>
    <t>Ironwood Grounds</t>
  </si>
  <si>
    <t>Spencer's TV &amp; Appliance</t>
  </si>
  <si>
    <t>Best Buy</t>
  </si>
  <si>
    <t>Ferguson</t>
  </si>
  <si>
    <t>Sparkle Crew</t>
  </si>
  <si>
    <t>Staged AZ</t>
  </si>
  <si>
    <t>Budget &amp; Schedule</t>
  </si>
  <si>
    <t>Your bids, rolled up. Phases run one after another; jobs inside a phase run together.</t>
  </si>
  <si>
    <t>Total rehab budget</t>
  </si>
  <si>
    <t>Calendar days on site</t>
  </si>
  <si>
    <t>Months of carry</t>
  </si>
  <si>
    <t>Jobs</t>
  </si>
  <si>
    <t>Starts</t>
  </si>
  <si>
    <t>Finishes</t>
  </si>
  <si>
    <t>TOTAL</t>
  </si>
  <si>
    <t>A phase takes as long as its jobs added together. On a house this size one trade works at a time.</t>
  </si>
  <si>
    <t>Days come from what each sub quoted on the Bid Comparison sheet — they are calendar days, not working days.</t>
  </si>
  <si>
    <t>Draw Schedule</t>
  </si>
  <si>
    <t>One draw per phase. Request when the phase finishes; the money lands later.</t>
  </si>
  <si>
    <t>The gap between 'Request on' and 'Funded on' is the number of days you told us your lender takes.</t>
  </si>
  <si>
    <t>Draw</t>
  </si>
  <si>
    <t>Phase budget</t>
  </si>
  <si>
    <t>Holdback</t>
  </si>
  <si>
    <t>You receive</t>
  </si>
  <si>
    <t>Request on</t>
  </si>
  <si>
    <t>Funded on</t>
  </si>
  <si>
    <t>Holdback is released at completion. Until then it is money you have spent and not been paid for.</t>
  </si>
  <si>
    <t>Cash &amp; Float</t>
  </si>
  <si>
    <t>What this job costs you to carry between paying subs and getting funded.</t>
  </si>
  <si>
    <t>You pay a deposit when a phase starts and the balance when it finishes. The draw arrives days after that.</t>
  </si>
  <si>
    <t>Deposit out</t>
  </si>
  <si>
    <t>Balance out</t>
  </si>
  <si>
    <t>Draw in</t>
  </si>
  <si>
    <t>On this date</t>
  </si>
  <si>
    <t>Cash position</t>
  </si>
  <si>
    <t>Lowest your cash ever gets</t>
  </si>
  <si>
    <t>Extra cash you need to survive it</t>
  </si>
  <si>
    <t>This is the number that catches people. A fully funded deal still needs cash on hand between draws.</t>
  </si>
  <si>
    <t>Take Into Hona</t>
  </si>
  <si>
    <t>This is your project, ready to build in the app. Phase, category, budget, days.</t>
  </si>
  <si>
    <t>Rows marked x are your project. Set them up once in Hona and every receipt you scan lands against these numbers.</t>
  </si>
  <si>
    <t>Project total</t>
  </si>
  <si>
    <t>hona   ·   honafinancial.com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</si>
</sst>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0.0%"/>
    <numFmt numFmtId="165" formatCode="0.0"/>
    <numFmt numFmtId="166" formatCode="mmm\ d\,\ yyyy"/>
    <numFmt numFmtId="167" formatCode="&quot;$&quot;#,##0.00"/>
  </numFmts>
  <fonts count="26" x14ac:knownFonts="1">
    <font>
      <sz val="11"/>
      <color theme="1"/>
      <name val="Calibri"/>
      <family val="2"/>
      <scheme val="minor"/>
    </font>
    <font>
      <b/>
      <sz val="20"/>
      <color rgb="FFF5F1E8"/>
      <name val="Aptos Narrow"/>
    </font>
    <font>
      <sz val="10.5"/>
      <color rgb="FFF5F1E8"/>
      <name val="Aptos Narrow"/>
    </font>
    <font>
      <b/>
      <sz val="11"/>
      <color rgb="FFA8853F"/>
      <name val="Aptos Narrow"/>
    </font>
    <font>
      <sz val="11.5"/>
      <color rgb="FF1C2A39"/>
      <name val="Aptos Narrow"/>
    </font>
    <font>
      <b/>
      <sz val="11.5"/>
      <color rgb="FF1C2A39"/>
      <name val="Aptos Narrow"/>
    </font>
    <font>
      <i/>
      <sz val="9.5"/>
      <color rgb="FF6B7784"/>
      <name val="Aptos Narrow"/>
    </font>
    <font>
      <i/>
      <sz val="10"/>
      <color rgb="FF6B7784"/>
      <name val="Aptos Narrow"/>
    </font>
    <font>
      <i/>
      <sz val="10"/>
      <color rgb="FF1C2A39"/>
      <name val="Aptos Narrow"/>
    </font>
    <font>
      <b/>
      <sz val="10"/>
      <color rgb="FFF5F1E8"/>
      <name val="Aptos Narrow"/>
    </font>
    <font>
      <b/>
      <sz val="11"/>
      <color rgb="FF1C2A39"/>
      <name val="Aptos Narrow"/>
    </font>
    <font>
      <b/>
      <sz val="12"/>
      <color rgb="FFA8853F"/>
      <name val="Aptos Narrow"/>
    </font>
    <font>
      <b/>
      <sz val="12"/>
      <color rgb="FF1C2A39"/>
      <name val="Aptos Narrow"/>
    </font>
    <font>
      <b/>
      <sz val="14"/>
      <color rgb="FFA8853F"/>
      <name val="Aptos Narrow"/>
    </font>
    <font>
      <b/>
      <sz val="11"/>
      <color rgb="FF1F7A4D"/>
      <name val="Aptos Narrow"/>
    </font>
    <font>
      <sz val="9"/>
      <color rgb="FFFFFFFF"/>
      <name val="Aptos Narrow"/>
    </font>
    <font>
      <i/>
      <sz val="10"/>
      <color rgb="FFA8853F"/>
      <name val="Aptos Narrow"/>
    </font>
    <font>
      <b/>
      <sz val="40"/>
      <color rgb="FFF5F1E8"/>
      <name val="Aptos Narrow"/>
    </font>
    <font>
      <b/>
      <sz val="13"/>
      <color rgb="FFA8853F"/>
      <name val="Aptos Narrow"/>
    </font>
    <font>
      <b/>
      <sz val="16"/>
      <color rgb="FF1C2A39"/>
      <name val="Aptos Narrow"/>
    </font>
    <font>
      <sz val="11"/>
      <color rgb="FF6B7784"/>
      <name val="Aptos Narrow"/>
    </font>
    <font>
      <sz val="10.5"/>
      <color rgb="FF6B7784"/>
      <name val="Aptos Narrow"/>
    </font>
    <font>
      <sz val="10"/>
      <color rgb="FF6B7784"/>
      <name val="Aptos Narrow"/>
    </font>
    <font>
      <i/>
      <sz val="10.5"/>
      <color rgb="FF6B7784"/>
      <name val="Aptos Narrow"/>
    </font>
    <font>
      <sz val="10.5"/>
      <color rgb="FFA8853F"/>
      <name val="Aptos Narrow"/>
    </font>
    <font>
      <b/>
      <u/>
      <sz val="11.5"/>
      <color rgb="FF0B5CAB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1C2A39"/>
      </patternFill>
    </fill>
    <fill>
      <patternFill patternType="solid">
        <fgColor rgb="FFA8853F"/>
      </patternFill>
    </fill>
    <fill>
      <patternFill patternType="solid">
        <fgColor rgb="FFE8F1FA"/>
      </patternFill>
    </fill>
    <fill>
      <patternFill patternType="solid">
        <fgColor rgb="FFF2F3F5"/>
      </patternFill>
    </fill>
    <fill>
      <patternFill patternType="solid">
        <fgColor rgb="FFF5F1E8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A8853F"/>
      </bottom>
      <diagonal/>
    </border>
    <border>
      <left style="thin">
        <color rgb="FFD8DCE1"/>
      </left>
      <right style="thin">
        <color rgb="FFD8DCE1"/>
      </right>
      <top style="thin">
        <color rgb="FFD8DCE1"/>
      </top>
      <bottom style="thin">
        <color rgb="FFD8DCE1"/>
      </bottom>
      <diagonal/>
    </border>
    <border>
      <left/>
      <right/>
      <top style="thin">
        <color rgb="FFD8DCE1"/>
      </top>
      <bottom style="thin">
        <color rgb="FFD8DCE1"/>
      </bottom>
      <diagonal/>
    </border>
    <border>
      <left/>
      <right style="thin">
        <color rgb="FFD8DCE1"/>
      </right>
      <top style="thin">
        <color rgb="FFD8DCE1"/>
      </top>
      <bottom style="thin">
        <color rgb="FFD8DCE1"/>
      </bottom>
      <diagonal/>
    </border>
    <border>
      <left style="thin">
        <color rgb="FFD8DCE1"/>
      </left>
      <right style="thin">
        <color rgb="FFD8DCE1"/>
      </right>
      <top style="medium">
        <color rgb="FFA8853F"/>
      </top>
      <bottom style="thin">
        <color rgb="FFD8DCE1"/>
      </bottom>
      <diagonal/>
    </border>
    <border>
      <left/>
      <right/>
      <top style="medium">
        <color rgb="FFA8853F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5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9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3" fontId="0" fillId="4" borderId="2" xfId="0" applyNumberFormat="1" applyFill="1" applyBorder="1"/>
    <xf numFmtId="42" fontId="0" fillId="4" borderId="2" xfId="0" applyNumberFormat="1" applyFill="1" applyBorder="1"/>
    <xf numFmtId="167" fontId="0" fillId="5" borderId="2" xfId="0" applyNumberFormat="1" applyFill="1" applyBorder="1"/>
    <xf numFmtId="0" fontId="10" fillId="0" borderId="0" xfId="0" applyFont="1" applyAlignment="1">
      <alignment horizontal="right" vertical="center"/>
    </xf>
    <xf numFmtId="167" fontId="11" fillId="5" borderId="2" xfId="0" applyNumberFormat="1" applyFont="1" applyFill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4" fillId="4" borderId="5" xfId="0" applyFont="1" applyFill="1" applyBorder="1" applyAlignment="1">
      <alignment horizontal="center" vertical="center"/>
    </xf>
    <xf numFmtId="42" fontId="0" fillId="5" borderId="5" xfId="0" applyNumberFormat="1" applyFill="1" applyBorder="1"/>
    <xf numFmtId="3" fontId="0" fillId="5" borderId="5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42" fontId="0" fillId="5" borderId="2" xfId="0" applyNumberFormat="1" applyFill="1" applyBorder="1"/>
    <xf numFmtId="3" fontId="0" fillId="5" borderId="2" xfId="0" applyNumberFormat="1" applyFill="1" applyBorder="1"/>
    <xf numFmtId="0" fontId="11" fillId="0" borderId="0" xfId="0" applyFont="1" applyAlignment="1">
      <alignment horizontal="center" vertical="center"/>
    </xf>
    <xf numFmtId="42" fontId="11" fillId="5" borderId="2" xfId="0" applyNumberFormat="1" applyFont="1" applyFill="1" applyBorder="1"/>
    <xf numFmtId="0" fontId="0" fillId="5" borderId="5" xfId="0" applyFill="1" applyBorder="1" applyAlignment="1">
      <alignment horizontal="center" vertical="center"/>
    </xf>
    <xf numFmtId="0" fontId="0" fillId="4" borderId="5" xfId="0" applyFill="1" applyBorder="1"/>
    <xf numFmtId="42" fontId="0" fillId="4" borderId="5" xfId="0" applyNumberFormat="1" applyFill="1" applyBorder="1"/>
    <xf numFmtId="3" fontId="0" fillId="4" borderId="5" xfId="0" applyNumberFormat="1" applyFill="1" applyBorder="1" applyAlignment="1">
      <alignment horizontal="center" vertical="center"/>
    </xf>
    <xf numFmtId="42" fontId="0" fillId="5" borderId="5" xfId="0" applyNumberFormat="1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42" fontId="0" fillId="5" borderId="2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166" fontId="0" fillId="5" borderId="2" xfId="0" applyNumberFormat="1" applyFill="1" applyBorder="1" applyAlignment="1">
      <alignment horizontal="center" vertical="center"/>
    </xf>
    <xf numFmtId="0" fontId="10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42" fontId="11" fillId="0" borderId="6" xfId="0" applyNumberFormat="1" applyFont="1" applyBorder="1"/>
    <xf numFmtId="0" fontId="0" fillId="0" borderId="6" xfId="0" applyBorder="1"/>
    <xf numFmtId="166" fontId="10" fillId="0" borderId="6" xfId="0" applyNumberFormat="1" applyFont="1" applyBorder="1" applyAlignment="1">
      <alignment horizontal="center" vertical="center"/>
    </xf>
    <xf numFmtId="42" fontId="10" fillId="5" borderId="2" xfId="0" applyNumberFormat="1" applyFont="1" applyFill="1" applyBorder="1"/>
    <xf numFmtId="42" fontId="3" fillId="0" borderId="6" xfId="0" applyNumberFormat="1" applyFont="1" applyBorder="1"/>
    <xf numFmtId="0" fontId="5" fillId="0" borderId="2" xfId="0" applyFont="1" applyBorder="1" applyAlignment="1">
      <alignment horizontal="left" vertical="center" indent="1"/>
    </xf>
    <xf numFmtId="0" fontId="21" fillId="0" borderId="2" xfId="0" applyFont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indent="1"/>
    </xf>
    <xf numFmtId="0" fontId="0" fillId="0" borderId="2" xfId="0" applyBorder="1"/>
    <xf numFmtId="42" fontId="12" fillId="5" borderId="2" xfId="0" applyNumberFormat="1" applyFont="1" applyFill="1" applyBorder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3" fontId="12" fillId="5" borderId="2" xfId="0" applyNumberFormat="1" applyFont="1" applyFill="1" applyBorder="1" applyAlignment="1">
      <alignment horizontal="center" vertical="center"/>
    </xf>
    <xf numFmtId="0" fontId="15" fillId="0" borderId="0" xfId="0" applyFont="1"/>
    <xf numFmtId="0" fontId="5" fillId="0" borderId="0" xfId="0" applyFont="1"/>
    <xf numFmtId="0" fontId="10" fillId="0" borderId="0" xfId="0" applyFont="1"/>
    <xf numFmtId="42" fontId="0" fillId="4" borderId="2" xfId="0" applyNumberFormat="1" applyFill="1" applyBorder="1" applyAlignment="1">
      <alignment horizontal="center" vertical="center"/>
    </xf>
    <xf numFmtId="42" fontId="11" fillId="0" borderId="2" xfId="0" applyNumberFormat="1" applyFont="1" applyBorder="1"/>
    <xf numFmtId="3" fontId="11" fillId="0" borderId="2" xfId="0" applyNumberFormat="1" applyFont="1" applyBorder="1" applyAlignment="1">
      <alignment horizontal="center" vertical="center"/>
    </xf>
    <xf numFmtId="42" fontId="0" fillId="5" borderId="2" xfId="0" applyNumberFormat="1" applyFill="1" applyBorder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7" fillId="2" borderId="0" xfId="0" applyFont="1" applyFill="1" applyAlignment="1">
      <alignment horizontal="left" vertical="center" indent="2"/>
    </xf>
    <xf numFmtId="0" fontId="18" fillId="2" borderId="0" xfId="0" applyFont="1" applyFill="1" applyAlignment="1">
      <alignment horizontal="left" vertical="center" indent="2"/>
    </xf>
    <xf numFmtId="0" fontId="24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2" fontId="5" fillId="4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/>
    <xf numFmtId="0" fontId="1" fillId="2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indent="1"/>
    </xf>
    <xf numFmtId="0" fontId="7" fillId="0" borderId="0" xfId="0" applyFont="1" applyAlignment="1">
      <alignment horizontal="left" vertical="top" wrapText="1"/>
    </xf>
    <xf numFmtId="166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42" fontId="5" fillId="5" borderId="2" xfId="0" applyNumberFormat="1" applyFont="1" applyFill="1" applyBorder="1" applyAlignment="1">
      <alignment horizontal="center" vertical="center"/>
    </xf>
    <xf numFmtId="42" fontId="13" fillId="5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165" fontId="5" fillId="5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</cellXfs>
  <cellStyles count="1">
    <cellStyle name="Normal" xfId="0" builtinId="0"/>
  </cellStyles>
  <dxfs count="9">
    <dxf>
      <font>
        <sz val="11"/>
        <color rgb="FFC6CBD1"/>
        <name val="Aptos Narrow"/>
      </font>
      <fill>
        <patternFill patternType="solid">
          <fgColor rgb="FFFCFCFC"/>
        </patternFill>
      </fill>
    </dxf>
    <dxf>
      <font>
        <b/>
        <sz val="11"/>
        <color rgb="FFB3261E"/>
        <name val="Aptos Narrow"/>
      </font>
    </dxf>
    <dxf>
      <font>
        <b/>
        <sz val="14"/>
        <color rgb="FFB3261E"/>
        <name val="Aptos Narrow"/>
      </font>
    </dxf>
    <dxf>
      <fill>
        <patternFill patternType="solid">
          <fgColor rgb="FFFFF4E0"/>
        </patternFill>
      </fill>
    </dxf>
    <dxf>
      <font>
        <sz val="11"/>
        <color rgb="FFC6CBD1"/>
        <name val="Aptos Narrow"/>
      </font>
      <fill>
        <patternFill patternType="solid">
          <fgColor rgb="FFFCFCFC"/>
        </patternFill>
      </fill>
    </dxf>
    <dxf>
      <font>
        <sz val="11"/>
        <color rgb="FFFFFFFF"/>
        <name val="Aptos Narrow"/>
      </font>
      <fill>
        <patternFill patternType="solid">
          <fgColor rgb="FFFFFFFF"/>
        </patternFill>
      </fill>
    </dxf>
    <dxf>
      <font>
        <sz val="11"/>
        <color rgb="FFB8BDC4"/>
        <name val="Aptos Narrow"/>
      </font>
      <fill>
        <patternFill patternType="solid">
          <fgColor rgb="FFFCFCFC"/>
        </patternFill>
      </fill>
    </dxf>
    <dxf>
      <font>
        <b/>
        <sz val="11.5"/>
        <color rgb="FF1F7A4D"/>
        <name val="Aptos Narrow"/>
      </font>
    </dxf>
    <dxf>
      <font>
        <b/>
        <sz val="11.5"/>
        <color rgb="FFB3261E"/>
        <name val="Aptos Narrow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853F"/>
    <pageSetUpPr fitToPage="1"/>
  </sheetPr>
  <dimension ref="A1:F36"/>
  <sheetViews>
    <sheetView showGridLines="0" tabSelected="1" workbookViewId="0">
      <selection activeCell="I6" sqref="I6"/>
    </sheetView>
  </sheetViews>
  <sheetFormatPr baseColWidth="10" defaultColWidth="8.83203125" defaultRowHeight="15" x14ac:dyDescent="0.2"/>
  <cols>
    <col min="1" max="1" width="3" customWidth="1"/>
    <col min="2" max="2" width="31" customWidth="1"/>
    <col min="3" max="3" width="47" customWidth="1"/>
    <col min="4" max="4" width="15" customWidth="1"/>
    <col min="5" max="5" width="10" customWidth="1"/>
    <col min="6" max="6" width="4" customWidth="1"/>
  </cols>
  <sheetData>
    <row r="1" spans="1:6" x14ac:dyDescent="0.2">
      <c r="A1" s="65" t="s">
        <v>0</v>
      </c>
      <c r="B1" s="62"/>
      <c r="C1" s="62"/>
      <c r="D1" s="62"/>
      <c r="E1" s="62"/>
      <c r="F1" s="62"/>
    </row>
    <row r="2" spans="1:6" x14ac:dyDescent="0.2">
      <c r="A2" s="62"/>
      <c r="B2" s="62"/>
      <c r="C2" s="62"/>
      <c r="D2" s="62"/>
      <c r="E2" s="62"/>
      <c r="F2" s="62"/>
    </row>
    <row r="3" spans="1:6" x14ac:dyDescent="0.2">
      <c r="A3" s="62"/>
      <c r="B3" s="62"/>
      <c r="C3" s="62"/>
      <c r="D3" s="62"/>
      <c r="E3" s="62"/>
      <c r="F3" s="62"/>
    </row>
    <row r="4" spans="1:6" x14ac:dyDescent="0.2">
      <c r="A4" s="62"/>
      <c r="B4" s="62"/>
      <c r="C4" s="62"/>
      <c r="D4" s="62"/>
      <c r="E4" s="62"/>
      <c r="F4" s="62"/>
    </row>
    <row r="5" spans="1:6" x14ac:dyDescent="0.2">
      <c r="A5" s="62"/>
      <c r="B5" s="62"/>
      <c r="C5" s="62"/>
      <c r="D5" s="62"/>
      <c r="E5" s="62"/>
      <c r="F5" s="62"/>
    </row>
    <row r="6" spans="1:6" x14ac:dyDescent="0.2">
      <c r="A6" s="62"/>
      <c r="B6" s="62"/>
      <c r="C6" s="62"/>
      <c r="D6" s="62"/>
      <c r="E6" s="62"/>
      <c r="F6" s="62"/>
    </row>
    <row r="7" spans="1:6" x14ac:dyDescent="0.2">
      <c r="A7" s="62"/>
      <c r="B7" s="62"/>
      <c r="C7" s="62"/>
      <c r="D7" s="62"/>
      <c r="E7" s="62"/>
      <c r="F7" s="62"/>
    </row>
    <row r="8" spans="1:6" ht="26" customHeight="1" x14ac:dyDescent="0.2">
      <c r="A8" s="66" t="s">
        <v>1</v>
      </c>
      <c r="B8" s="62"/>
      <c r="C8" s="62"/>
      <c r="D8" s="62"/>
      <c r="E8" s="62"/>
      <c r="F8" s="62"/>
    </row>
    <row r="9" spans="1:6" ht="5" customHeight="1" x14ac:dyDescent="0.2">
      <c r="A9" s="1"/>
      <c r="B9" s="1"/>
      <c r="C9" s="1"/>
      <c r="D9" s="1"/>
      <c r="E9" s="1"/>
      <c r="F9" s="1"/>
    </row>
    <row r="11" spans="1:6" ht="30" customHeight="1" x14ac:dyDescent="0.2">
      <c r="B11" s="64" t="s">
        <v>2</v>
      </c>
      <c r="C11" s="62"/>
      <c r="D11" s="62"/>
      <c r="E11" s="62"/>
      <c r="F11" s="62"/>
    </row>
    <row r="12" spans="1:6" ht="18" customHeight="1" x14ac:dyDescent="0.2">
      <c r="B12" s="61" t="s">
        <v>3</v>
      </c>
      <c r="C12" s="62"/>
      <c r="D12" s="62"/>
      <c r="E12" s="62"/>
      <c r="F12" s="62"/>
    </row>
    <row r="13" spans="1:6" ht="18" customHeight="1" x14ac:dyDescent="0.2">
      <c r="B13" s="62"/>
      <c r="C13" s="62"/>
      <c r="D13" s="62"/>
      <c r="E13" s="62"/>
      <c r="F13" s="62"/>
    </row>
    <row r="15" spans="1:6" ht="24" customHeight="1" x14ac:dyDescent="0.2">
      <c r="A15" s="2" t="s">
        <v>4</v>
      </c>
      <c r="B15" s="3"/>
      <c r="C15" s="3"/>
      <c r="D15" s="3"/>
      <c r="E15" s="3"/>
      <c r="F15" s="3"/>
    </row>
    <row r="17" spans="1:6" ht="26" customHeight="1" x14ac:dyDescent="0.2">
      <c r="B17" s="6" t="s">
        <v>5</v>
      </c>
      <c r="C17" s="6" t="s">
        <v>6</v>
      </c>
      <c r="D17" s="6" t="s">
        <v>7</v>
      </c>
      <c r="E17" s="6"/>
    </row>
    <row r="18" spans="1:6" ht="24" customHeight="1" x14ac:dyDescent="0.2">
      <c r="B18" s="45" t="s">
        <v>8</v>
      </c>
      <c r="C18" s="46" t="s">
        <v>9</v>
      </c>
      <c r="D18" s="47">
        <f>COUNTA('Your Deal'!$D$6:$D$40)</f>
        <v>14</v>
      </c>
      <c r="E18" s="48" t="s">
        <v>10</v>
      </c>
    </row>
    <row r="19" spans="1:6" ht="24" customHeight="1" x14ac:dyDescent="0.2">
      <c r="B19" s="45" t="s">
        <v>11</v>
      </c>
      <c r="C19" s="46" t="s">
        <v>12</v>
      </c>
      <c r="D19" s="47">
        <f>COUNT('Comps &amp; Buy Box'!$C$8:$C$10)+COUNT('Comps &amp; Buy Box'!$C$16:$C$18)</f>
        <v>6</v>
      </c>
      <c r="E19" s="48" t="s">
        <v>13</v>
      </c>
    </row>
    <row r="20" spans="1:6" ht="24" customHeight="1" x14ac:dyDescent="0.2">
      <c r="B20" s="45" t="s">
        <v>14</v>
      </c>
      <c r="C20" s="46" t="s">
        <v>15</v>
      </c>
      <c r="D20" s="47">
        <f>COUNTIF('Scope &amp; Phases'!$D$8:$D$73,"x")</f>
        <v>52</v>
      </c>
      <c r="E20" s="48" t="s">
        <v>16</v>
      </c>
    </row>
    <row r="21" spans="1:6" ht="24" customHeight="1" x14ac:dyDescent="0.2">
      <c r="B21" s="45" t="s">
        <v>17</v>
      </c>
      <c r="C21" s="46" t="s">
        <v>18</v>
      </c>
      <c r="D21" s="47">
        <f>COUNTIF('Bid Comparison'!$N$8:$N$73,"&gt;0")</f>
        <v>52</v>
      </c>
      <c r="E21" s="48" t="s">
        <v>19</v>
      </c>
    </row>
    <row r="23" spans="1:6" ht="24" customHeight="1" x14ac:dyDescent="0.2">
      <c r="A23" s="2" t="s">
        <v>20</v>
      </c>
      <c r="B23" s="3"/>
      <c r="C23" s="3"/>
      <c r="D23" s="3"/>
      <c r="E23" s="3"/>
      <c r="F23" s="3"/>
    </row>
    <row r="25" spans="1:6" ht="24" customHeight="1" x14ac:dyDescent="0.2">
      <c r="B25" s="49" t="s">
        <v>21</v>
      </c>
      <c r="C25" s="50"/>
      <c r="D25" s="51">
        <f>'Comps &amp; Buy Box'!$D$33</f>
        <v>276826.14306274173</v>
      </c>
      <c r="E25" s="50"/>
    </row>
    <row r="26" spans="1:6" ht="24" customHeight="1" x14ac:dyDescent="0.2">
      <c r="B26" s="49" t="s">
        <v>22</v>
      </c>
      <c r="C26" s="50"/>
      <c r="D26" s="51">
        <f>'Budget &amp; Schedule'!$D$5</f>
        <v>129325</v>
      </c>
      <c r="E26" s="50"/>
    </row>
    <row r="27" spans="1:6" ht="24" customHeight="1" x14ac:dyDescent="0.2">
      <c r="B27" s="49" t="s">
        <v>23</v>
      </c>
      <c r="C27" s="50"/>
      <c r="D27" s="52">
        <f>'Budget &amp; Schedule'!$D$6</f>
        <v>69.52956989247312</v>
      </c>
      <c r="E27" s="50"/>
    </row>
    <row r="28" spans="1:6" ht="24" customHeight="1" x14ac:dyDescent="0.2">
      <c r="B28" s="49" t="s">
        <v>24</v>
      </c>
      <c r="C28" s="50"/>
      <c r="D28" s="53">
        <f>'Budget &amp; Schedule'!$D$7</f>
        <v>155</v>
      </c>
      <c r="E28" s="50"/>
    </row>
    <row r="29" spans="1:6" ht="24" customHeight="1" x14ac:dyDescent="0.2">
      <c r="B29" s="49" t="s">
        <v>25</v>
      </c>
      <c r="C29" s="50"/>
      <c r="D29" s="51">
        <f>'Cash &amp; Float'!$F$21</f>
        <v>0</v>
      </c>
      <c r="E29" s="50"/>
    </row>
    <row r="32" spans="1:6" x14ac:dyDescent="0.2">
      <c r="B32" s="68" t="s">
        <v>26</v>
      </c>
      <c r="C32" s="62"/>
      <c r="D32" s="62"/>
      <c r="E32" s="62"/>
      <c r="F32" s="62"/>
    </row>
    <row r="34" spans="2:6" x14ac:dyDescent="0.2">
      <c r="B34" s="63" t="s">
        <v>27</v>
      </c>
      <c r="C34" s="62"/>
      <c r="D34" s="62"/>
      <c r="E34" s="62"/>
      <c r="F34" s="62"/>
    </row>
    <row r="36" spans="2:6" ht="30" customHeight="1" x14ac:dyDescent="0.2">
      <c r="B36" s="67" t="s">
        <v>28</v>
      </c>
      <c r="C36" s="62"/>
      <c r="D36" s="62"/>
      <c r="E36" s="62"/>
      <c r="F36" s="62"/>
    </row>
  </sheetData>
  <mergeCells count="7">
    <mergeCell ref="B36:F36"/>
    <mergeCell ref="B32:F32"/>
    <mergeCell ref="B12:F13"/>
    <mergeCell ref="B34:F34"/>
    <mergeCell ref="B11:F11"/>
    <mergeCell ref="A1:F7"/>
    <mergeCell ref="A8:F8"/>
  </mergeCells>
  <pageMargins left="0.4" right="0.4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853F"/>
    <pageSetUpPr fitToPage="1"/>
  </sheetPr>
  <dimension ref="A1:H4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3" width="10" customWidth="1"/>
    <col min="4" max="4" width="14" customWidth="1"/>
    <col min="5" max="6" width="12" customWidth="1"/>
    <col min="7" max="8" width="10" customWidth="1"/>
  </cols>
  <sheetData>
    <row r="1" spans="1:8" ht="38" customHeight="1" x14ac:dyDescent="0.2">
      <c r="A1" s="75" t="s">
        <v>29</v>
      </c>
      <c r="B1" s="62"/>
      <c r="C1" s="62"/>
      <c r="D1" s="62"/>
      <c r="E1" s="62"/>
      <c r="F1" s="62"/>
      <c r="G1" s="62"/>
      <c r="H1" s="62"/>
    </row>
    <row r="2" spans="1:8" ht="20" customHeight="1" x14ac:dyDescent="0.2">
      <c r="A2" s="79" t="s">
        <v>30</v>
      </c>
      <c r="B2" s="62"/>
      <c r="C2" s="62"/>
      <c r="D2" s="62"/>
      <c r="E2" s="62"/>
      <c r="F2" s="62"/>
      <c r="G2" s="62"/>
      <c r="H2" s="62"/>
    </row>
    <row r="3" spans="1:8" ht="4" customHeight="1" x14ac:dyDescent="0.2">
      <c r="A3" s="1"/>
      <c r="B3" s="1"/>
      <c r="C3" s="1"/>
      <c r="D3" s="1"/>
      <c r="E3" s="1"/>
      <c r="F3" s="1"/>
      <c r="G3" s="1"/>
      <c r="H3" s="1"/>
    </row>
    <row r="5" spans="1:8" ht="24" customHeight="1" x14ac:dyDescent="0.2">
      <c r="A5" s="2" t="s">
        <v>31</v>
      </c>
      <c r="B5" s="3"/>
      <c r="C5" s="3"/>
      <c r="D5" s="3"/>
      <c r="E5" s="3"/>
      <c r="F5" s="3"/>
      <c r="G5" s="3"/>
      <c r="H5" s="3"/>
    </row>
    <row r="7" spans="1:8" ht="22" customHeight="1" x14ac:dyDescent="0.2">
      <c r="A7" s="73" t="s">
        <v>32</v>
      </c>
      <c r="B7" s="62"/>
      <c r="C7" s="62"/>
      <c r="D7" s="76" t="s">
        <v>33</v>
      </c>
      <c r="E7" s="70"/>
      <c r="F7" s="71"/>
    </row>
    <row r="8" spans="1:8" ht="14" customHeight="1" x14ac:dyDescent="0.2">
      <c r="A8" s="74" t="s">
        <v>34</v>
      </c>
      <c r="B8" s="62"/>
      <c r="C8" s="62"/>
      <c r="D8" s="62"/>
      <c r="E8" s="62"/>
      <c r="F8" s="62"/>
    </row>
    <row r="9" spans="1:8" ht="22" customHeight="1" x14ac:dyDescent="0.2">
      <c r="A9" s="73" t="s">
        <v>35</v>
      </c>
      <c r="B9" s="62"/>
      <c r="C9" s="62"/>
      <c r="D9" s="78">
        <v>1860</v>
      </c>
      <c r="E9" s="70"/>
      <c r="F9" s="71"/>
    </row>
    <row r="10" spans="1:8" ht="14" customHeight="1" x14ac:dyDescent="0.2">
      <c r="A10" s="74" t="s">
        <v>36</v>
      </c>
      <c r="B10" s="62"/>
      <c r="C10" s="62"/>
      <c r="D10" s="62"/>
      <c r="E10" s="62"/>
      <c r="F10" s="62"/>
    </row>
    <row r="11" spans="1:8" ht="22" customHeight="1" x14ac:dyDescent="0.2">
      <c r="A11" s="73" t="s">
        <v>37</v>
      </c>
      <c r="B11" s="62"/>
      <c r="C11" s="62"/>
      <c r="D11" s="72">
        <v>255000</v>
      </c>
      <c r="E11" s="70"/>
      <c r="F11" s="71"/>
    </row>
    <row r="12" spans="1:8" ht="14" customHeight="1" x14ac:dyDescent="0.2">
      <c r="A12" s="74" t="s">
        <v>38</v>
      </c>
      <c r="B12" s="62"/>
      <c r="C12" s="62"/>
      <c r="D12" s="62"/>
      <c r="E12" s="62"/>
      <c r="F12" s="62"/>
    </row>
    <row r="13" spans="1:8" ht="22" customHeight="1" x14ac:dyDescent="0.2">
      <c r="A13" s="73" t="s">
        <v>39</v>
      </c>
      <c r="B13" s="62"/>
      <c r="C13" s="62"/>
      <c r="D13" s="69" t="s">
        <v>40</v>
      </c>
      <c r="E13" s="70"/>
      <c r="F13" s="71"/>
    </row>
    <row r="14" spans="1:8" ht="14" customHeight="1" x14ac:dyDescent="0.2">
      <c r="A14" s="74" t="s">
        <v>41</v>
      </c>
      <c r="B14" s="62"/>
      <c r="C14" s="62"/>
      <c r="D14" s="62"/>
      <c r="E14" s="62"/>
      <c r="F14" s="62"/>
    </row>
    <row r="16" spans="1:8" ht="24" customHeight="1" x14ac:dyDescent="0.2">
      <c r="A16" s="2" t="s">
        <v>42</v>
      </c>
      <c r="B16" s="3"/>
      <c r="C16" s="3"/>
      <c r="D16" s="3"/>
      <c r="E16" s="3"/>
      <c r="F16" s="3"/>
      <c r="G16" s="3"/>
      <c r="H16" s="3"/>
    </row>
    <row r="18" spans="1:8" ht="22" customHeight="1" x14ac:dyDescent="0.2">
      <c r="A18" s="73" t="s">
        <v>43</v>
      </c>
      <c r="B18" s="62"/>
      <c r="C18" s="62"/>
      <c r="D18" s="72">
        <v>310000</v>
      </c>
      <c r="E18" s="70"/>
      <c r="F18" s="71"/>
    </row>
    <row r="19" spans="1:8" ht="14" customHeight="1" x14ac:dyDescent="0.2">
      <c r="A19" s="74" t="s">
        <v>44</v>
      </c>
      <c r="B19" s="62"/>
      <c r="C19" s="62"/>
      <c r="D19" s="62"/>
      <c r="E19" s="62"/>
      <c r="F19" s="62"/>
    </row>
    <row r="20" spans="1:8" ht="22" customHeight="1" x14ac:dyDescent="0.2">
      <c r="A20" s="73" t="s">
        <v>45</v>
      </c>
      <c r="B20" s="62"/>
      <c r="C20" s="62"/>
      <c r="D20" s="77">
        <v>0.115</v>
      </c>
      <c r="E20" s="70"/>
      <c r="F20" s="71"/>
    </row>
    <row r="21" spans="1:8" ht="14" customHeight="1" x14ac:dyDescent="0.2">
      <c r="A21" s="74" t="s">
        <v>46</v>
      </c>
      <c r="B21" s="62"/>
      <c r="C21" s="62"/>
      <c r="D21" s="62"/>
      <c r="E21" s="62"/>
      <c r="F21" s="62"/>
    </row>
    <row r="22" spans="1:8" ht="22" customHeight="1" x14ac:dyDescent="0.2">
      <c r="A22" s="73" t="s">
        <v>47</v>
      </c>
      <c r="B22" s="62"/>
      <c r="C22" s="62"/>
      <c r="D22" s="82">
        <v>2</v>
      </c>
      <c r="E22" s="70"/>
      <c r="F22" s="71"/>
    </row>
    <row r="23" spans="1:8" ht="14" customHeight="1" x14ac:dyDescent="0.2">
      <c r="A23" s="74" t="s">
        <v>48</v>
      </c>
      <c r="B23" s="62"/>
      <c r="C23" s="62"/>
      <c r="D23" s="62"/>
      <c r="E23" s="62"/>
      <c r="F23" s="62"/>
    </row>
    <row r="24" spans="1:8" ht="22" customHeight="1" x14ac:dyDescent="0.2">
      <c r="A24" s="73" t="s">
        <v>49</v>
      </c>
      <c r="B24" s="62"/>
      <c r="C24" s="62"/>
      <c r="D24" s="78">
        <v>10</v>
      </c>
      <c r="E24" s="70"/>
      <c r="F24" s="71"/>
    </row>
    <row r="25" spans="1:8" ht="14" customHeight="1" x14ac:dyDescent="0.2">
      <c r="A25" s="74" t="s">
        <v>50</v>
      </c>
      <c r="B25" s="62"/>
      <c r="C25" s="62"/>
      <c r="D25" s="62"/>
      <c r="E25" s="62"/>
      <c r="F25" s="62"/>
    </row>
    <row r="26" spans="1:8" ht="22" customHeight="1" x14ac:dyDescent="0.2">
      <c r="A26" s="73" t="s">
        <v>51</v>
      </c>
      <c r="B26" s="62"/>
      <c r="C26" s="62"/>
      <c r="D26" s="72">
        <v>60000</v>
      </c>
      <c r="E26" s="70"/>
      <c r="F26" s="71"/>
    </row>
    <row r="27" spans="1:8" ht="14" customHeight="1" x14ac:dyDescent="0.2">
      <c r="A27" s="74" t="s">
        <v>52</v>
      </c>
      <c r="B27" s="62"/>
      <c r="C27" s="62"/>
      <c r="D27" s="62"/>
      <c r="E27" s="62"/>
      <c r="F27" s="62"/>
    </row>
    <row r="29" spans="1:8" ht="24" customHeight="1" x14ac:dyDescent="0.2">
      <c r="A29" s="2" t="s">
        <v>53</v>
      </c>
      <c r="B29" s="3"/>
      <c r="C29" s="3"/>
      <c r="D29" s="3"/>
      <c r="E29" s="3"/>
      <c r="F29" s="3"/>
      <c r="G29" s="3"/>
      <c r="H29" s="3"/>
    </row>
    <row r="31" spans="1:8" ht="22" customHeight="1" x14ac:dyDescent="0.2">
      <c r="A31" s="73" t="s">
        <v>54</v>
      </c>
      <c r="B31" s="62"/>
      <c r="C31" s="62"/>
      <c r="D31" s="81">
        <v>46314</v>
      </c>
      <c r="E31" s="70"/>
      <c r="F31" s="71"/>
    </row>
    <row r="32" spans="1:8" ht="14" customHeight="1" x14ac:dyDescent="0.2">
      <c r="A32" s="74" t="s">
        <v>55</v>
      </c>
      <c r="B32" s="62"/>
      <c r="C32" s="62"/>
      <c r="D32" s="62"/>
      <c r="E32" s="62"/>
      <c r="F32" s="62"/>
    </row>
    <row r="33" spans="1:8" ht="22" customHeight="1" x14ac:dyDescent="0.2">
      <c r="A33" s="73" t="s">
        <v>56</v>
      </c>
      <c r="B33" s="62"/>
      <c r="C33" s="62"/>
      <c r="D33" s="77">
        <v>0.5</v>
      </c>
      <c r="E33" s="70"/>
      <c r="F33" s="71"/>
    </row>
    <row r="34" spans="1:8" ht="14" customHeight="1" x14ac:dyDescent="0.2">
      <c r="A34" s="74" t="s">
        <v>57</v>
      </c>
      <c r="B34" s="62"/>
      <c r="C34" s="62"/>
      <c r="D34" s="62"/>
      <c r="E34" s="62"/>
      <c r="F34" s="62"/>
    </row>
    <row r="35" spans="1:8" ht="22" customHeight="1" x14ac:dyDescent="0.2">
      <c r="A35" s="73" t="s">
        <v>58</v>
      </c>
      <c r="B35" s="62"/>
      <c r="C35" s="62"/>
      <c r="D35" s="77">
        <v>0.1</v>
      </c>
      <c r="E35" s="70"/>
      <c r="F35" s="71"/>
    </row>
    <row r="36" spans="1:8" ht="14" customHeight="1" x14ac:dyDescent="0.2">
      <c r="A36" s="74" t="s">
        <v>59</v>
      </c>
      <c r="B36" s="62"/>
      <c r="C36" s="62"/>
      <c r="D36" s="62"/>
      <c r="E36" s="62"/>
      <c r="F36" s="62"/>
    </row>
    <row r="37" spans="1:8" ht="22" customHeight="1" x14ac:dyDescent="0.2">
      <c r="A37" s="73" t="s">
        <v>60</v>
      </c>
      <c r="B37" s="62"/>
      <c r="C37" s="62"/>
      <c r="D37" s="77">
        <v>0.08</v>
      </c>
      <c r="E37" s="70"/>
      <c r="F37" s="71"/>
    </row>
    <row r="38" spans="1:8" ht="14" customHeight="1" x14ac:dyDescent="0.2">
      <c r="A38" s="74" t="s">
        <v>61</v>
      </c>
      <c r="B38" s="62"/>
      <c r="C38" s="62"/>
      <c r="D38" s="62"/>
      <c r="E38" s="62"/>
      <c r="F38" s="62"/>
    </row>
    <row r="39" spans="1:8" ht="22" customHeight="1" x14ac:dyDescent="0.2">
      <c r="A39" s="73" t="s">
        <v>62</v>
      </c>
      <c r="B39" s="62"/>
      <c r="C39" s="62"/>
      <c r="D39" s="72">
        <v>55000</v>
      </c>
      <c r="E39" s="70"/>
      <c r="F39" s="71"/>
    </row>
    <row r="40" spans="1:8" ht="14" customHeight="1" x14ac:dyDescent="0.2">
      <c r="A40" s="74" t="s">
        <v>63</v>
      </c>
      <c r="B40" s="62"/>
      <c r="C40" s="62"/>
      <c r="D40" s="62"/>
      <c r="E40" s="62"/>
      <c r="F40" s="62"/>
    </row>
    <row r="43" spans="1:8" ht="16" customHeight="1" x14ac:dyDescent="0.2">
      <c r="A43" s="80" t="s">
        <v>64</v>
      </c>
      <c r="B43" s="62"/>
      <c r="C43" s="62"/>
      <c r="D43" s="62"/>
      <c r="E43" s="62"/>
      <c r="F43" s="62"/>
      <c r="G43" s="62"/>
      <c r="H43" s="62"/>
    </row>
    <row r="44" spans="1:8" ht="16" customHeight="1" x14ac:dyDescent="0.2">
      <c r="A44" s="83" t="s">
        <v>27</v>
      </c>
      <c r="B44" s="62"/>
      <c r="C44" s="62"/>
      <c r="D44" s="62"/>
      <c r="E44" s="62"/>
      <c r="F44" s="62"/>
      <c r="G44" s="62"/>
      <c r="H44" s="62"/>
    </row>
  </sheetData>
  <mergeCells count="46">
    <mergeCell ref="A43:H43"/>
    <mergeCell ref="D31:F31"/>
    <mergeCell ref="D22:F22"/>
    <mergeCell ref="A44:H44"/>
    <mergeCell ref="A7:C7"/>
    <mergeCell ref="A25:F25"/>
    <mergeCell ref="A9:C9"/>
    <mergeCell ref="D26:F26"/>
    <mergeCell ref="A34:F34"/>
    <mergeCell ref="A40:F40"/>
    <mergeCell ref="A39:C39"/>
    <mergeCell ref="D20:F20"/>
    <mergeCell ref="A24:C24"/>
    <mergeCell ref="A11:C11"/>
    <mergeCell ref="A36:F36"/>
    <mergeCell ref="D39:F39"/>
    <mergeCell ref="A20:C20"/>
    <mergeCell ref="D33:F33"/>
    <mergeCell ref="D24:F24"/>
    <mergeCell ref="A38:F38"/>
    <mergeCell ref="A31:C31"/>
    <mergeCell ref="D35:F35"/>
    <mergeCell ref="A1:H1"/>
    <mergeCell ref="D7:F7"/>
    <mergeCell ref="A21:F21"/>
    <mergeCell ref="A26:C26"/>
    <mergeCell ref="A33:C33"/>
    <mergeCell ref="A14:F14"/>
    <mergeCell ref="A23:F23"/>
    <mergeCell ref="A32:F32"/>
    <mergeCell ref="A22:C22"/>
    <mergeCell ref="A8:F8"/>
    <mergeCell ref="D18:F18"/>
    <mergeCell ref="D9:F9"/>
    <mergeCell ref="A10:F10"/>
    <mergeCell ref="A13:C13"/>
    <mergeCell ref="A19:F19"/>
    <mergeCell ref="A2:H2"/>
    <mergeCell ref="D13:F13"/>
    <mergeCell ref="D11:F11"/>
    <mergeCell ref="A37:C37"/>
    <mergeCell ref="A27:F27"/>
    <mergeCell ref="A18:C18"/>
    <mergeCell ref="A12:F12"/>
    <mergeCell ref="D37:F37"/>
    <mergeCell ref="A35:C35"/>
  </mergeCells>
  <dataValidations count="1">
    <dataValidation type="list" allowBlank="1" sqref="D13" xr:uid="{00000000-0002-0000-0100-000000000000}">
      <formula1>"Light,Medium,Heavy,Rebuild"</formula1>
    </dataValidation>
  </dataValidations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853F"/>
    <pageSetUpPr fitToPage="1"/>
  </sheetPr>
  <dimension ref="A1:H38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1" customWidth="1"/>
    <col min="3" max="4" width="14" customWidth="1"/>
    <col min="5" max="5" width="34" customWidth="1"/>
    <col min="6" max="8" width="12" customWidth="1"/>
  </cols>
  <sheetData>
    <row r="1" spans="1:8" ht="38" customHeight="1" x14ac:dyDescent="0.2">
      <c r="A1" s="75" t="s">
        <v>65</v>
      </c>
      <c r="B1" s="62"/>
      <c r="C1" s="62"/>
      <c r="D1" s="62"/>
      <c r="E1" s="62"/>
      <c r="F1" s="62"/>
      <c r="G1" s="62"/>
      <c r="H1" s="62"/>
    </row>
    <row r="2" spans="1:8" ht="20" customHeight="1" x14ac:dyDescent="0.2">
      <c r="A2" s="79" t="s">
        <v>66</v>
      </c>
      <c r="B2" s="62"/>
      <c r="C2" s="62"/>
      <c r="D2" s="62"/>
      <c r="E2" s="62"/>
      <c r="F2" s="62"/>
      <c r="G2" s="62"/>
      <c r="H2" s="62"/>
    </row>
    <row r="3" spans="1:8" ht="4" customHeight="1" x14ac:dyDescent="0.2">
      <c r="A3" s="1"/>
      <c r="B3" s="1"/>
      <c r="C3" s="1"/>
      <c r="D3" s="1"/>
      <c r="E3" s="1"/>
      <c r="F3" s="1"/>
      <c r="G3" s="1"/>
      <c r="H3" s="1"/>
    </row>
    <row r="5" spans="1:8" ht="24" customHeight="1" x14ac:dyDescent="0.2">
      <c r="A5" s="2" t="s">
        <v>67</v>
      </c>
      <c r="B5" s="3"/>
      <c r="C5" s="3"/>
      <c r="D5" s="3"/>
      <c r="E5" s="3"/>
      <c r="F5" s="3"/>
      <c r="G5" s="3"/>
      <c r="H5" s="3"/>
    </row>
    <row r="7" spans="1:8" ht="26" customHeight="1" x14ac:dyDescent="0.2">
      <c r="A7" s="6" t="s">
        <v>68</v>
      </c>
      <c r="B7" s="6" t="s">
        <v>69</v>
      </c>
      <c r="C7" s="6" t="s">
        <v>70</v>
      </c>
      <c r="D7" s="6" t="s">
        <v>71</v>
      </c>
      <c r="E7" s="6" t="s">
        <v>72</v>
      </c>
    </row>
    <row r="8" spans="1:8" ht="20" customHeight="1" x14ac:dyDescent="0.2">
      <c r="A8" s="7" t="s">
        <v>73</v>
      </c>
      <c r="B8" s="8">
        <v>1795</v>
      </c>
      <c r="C8" s="9">
        <v>262000</v>
      </c>
      <c r="D8" s="10">
        <f>IFERROR(C8/B8,"")</f>
        <v>145.96100278551532</v>
      </c>
      <c r="E8" s="7" t="s">
        <v>74</v>
      </c>
    </row>
    <row r="9" spans="1:8" ht="20" customHeight="1" x14ac:dyDescent="0.2">
      <c r="A9" s="7" t="s">
        <v>75</v>
      </c>
      <c r="B9" s="8">
        <v>1902</v>
      </c>
      <c r="C9" s="9">
        <v>271000</v>
      </c>
      <c r="D9" s="10">
        <f>IFERROR(C9/B9,"")</f>
        <v>142.48159831756047</v>
      </c>
      <c r="E9" s="7" t="s">
        <v>76</v>
      </c>
    </row>
    <row r="10" spans="1:8" ht="20" customHeight="1" x14ac:dyDescent="0.2">
      <c r="A10" s="7" t="s">
        <v>77</v>
      </c>
      <c r="B10" s="8">
        <v>1748</v>
      </c>
      <c r="C10" s="9">
        <v>249000</v>
      </c>
      <c r="D10" s="10">
        <f>IFERROR(C10/B10,"")</f>
        <v>142.44851258581235</v>
      </c>
      <c r="E10" s="7" t="s">
        <v>78</v>
      </c>
    </row>
    <row r="11" spans="1:8" ht="16" x14ac:dyDescent="0.2">
      <c r="C11" s="11" t="s">
        <v>79</v>
      </c>
      <c r="D11" s="12">
        <f>IFERROR(AVERAGE(D8:D10),0)</f>
        <v>143.63037122962939</v>
      </c>
    </row>
    <row r="13" spans="1:8" ht="24" customHeight="1" x14ac:dyDescent="0.2">
      <c r="A13" s="2" t="s">
        <v>80</v>
      </c>
      <c r="B13" s="3"/>
      <c r="C13" s="3"/>
      <c r="D13" s="3"/>
      <c r="E13" s="3"/>
      <c r="F13" s="3"/>
      <c r="G13" s="3"/>
      <c r="H13" s="3"/>
    </row>
    <row r="15" spans="1:8" ht="26" customHeight="1" x14ac:dyDescent="0.2">
      <c r="A15" s="6" t="s">
        <v>68</v>
      </c>
      <c r="B15" s="6" t="s">
        <v>69</v>
      </c>
      <c r="C15" s="6" t="s">
        <v>70</v>
      </c>
      <c r="D15" s="6" t="s">
        <v>71</v>
      </c>
      <c r="E15" s="6" t="s">
        <v>72</v>
      </c>
    </row>
    <row r="16" spans="1:8" ht="20" customHeight="1" x14ac:dyDescent="0.2">
      <c r="A16" s="7" t="s">
        <v>81</v>
      </c>
      <c r="B16" s="8">
        <v>1880</v>
      </c>
      <c r="C16" s="9">
        <v>529000</v>
      </c>
      <c r="D16" s="10">
        <f>IFERROR(C16/B16,"")</f>
        <v>281.38297872340428</v>
      </c>
      <c r="E16" s="7" t="s">
        <v>82</v>
      </c>
    </row>
    <row r="17" spans="1:8" ht="20" customHeight="1" x14ac:dyDescent="0.2">
      <c r="A17" s="7" t="s">
        <v>83</v>
      </c>
      <c r="B17" s="8">
        <v>1815</v>
      </c>
      <c r="C17" s="9">
        <v>512000</v>
      </c>
      <c r="D17" s="10">
        <f>IFERROR(C17/B17,"")</f>
        <v>282.09366391184574</v>
      </c>
      <c r="E17" s="7" t="s">
        <v>84</v>
      </c>
    </row>
    <row r="18" spans="1:8" ht="20" customHeight="1" x14ac:dyDescent="0.2">
      <c r="A18" s="7" t="s">
        <v>85</v>
      </c>
      <c r="B18" s="8">
        <v>1930</v>
      </c>
      <c r="C18" s="9">
        <v>545000</v>
      </c>
      <c r="D18" s="10">
        <f>IFERROR(C18/B18,"")</f>
        <v>282.38341968911919</v>
      </c>
      <c r="E18" s="7" t="s">
        <v>86</v>
      </c>
    </row>
    <row r="19" spans="1:8" ht="16" x14ac:dyDescent="0.2">
      <c r="C19" s="11" t="s">
        <v>79</v>
      </c>
      <c r="D19" s="12">
        <f>IFERROR(AVERAGE(D16:D18),0)</f>
        <v>281.95335410812305</v>
      </c>
    </row>
    <row r="21" spans="1:8" ht="24" customHeight="1" x14ac:dyDescent="0.2">
      <c r="A21" s="2" t="s">
        <v>87</v>
      </c>
      <c r="B21" s="3"/>
      <c r="C21" s="3"/>
      <c r="D21" s="3"/>
      <c r="E21" s="3"/>
      <c r="F21" s="3"/>
      <c r="G21" s="3"/>
      <c r="H21" s="3"/>
    </row>
    <row r="23" spans="1:8" ht="16" customHeight="1" x14ac:dyDescent="0.2">
      <c r="A23" s="80" t="s">
        <v>88</v>
      </c>
      <c r="B23" s="62"/>
      <c r="C23" s="62"/>
      <c r="D23" s="62"/>
      <c r="E23" s="62"/>
      <c r="F23" s="62"/>
      <c r="G23" s="62"/>
      <c r="H23" s="62"/>
    </row>
    <row r="25" spans="1:8" ht="22" customHeight="1" x14ac:dyDescent="0.2">
      <c r="A25" s="73" t="s">
        <v>89</v>
      </c>
      <c r="B25" s="62"/>
      <c r="C25" s="62"/>
      <c r="D25" s="86">
        <f>'Your Deal'!$D$9*'Comps &amp; Buy Box'!$D$11</f>
        <v>267152.49048711068</v>
      </c>
      <c r="E25" s="70"/>
      <c r="F25" s="71"/>
    </row>
    <row r="26" spans="1:8" ht="22" customHeight="1" x14ac:dyDescent="0.2">
      <c r="A26" s="84" t="s">
        <v>90</v>
      </c>
      <c r="B26" s="62"/>
      <c r="C26" s="62"/>
      <c r="D26" s="86">
        <f>'Your Deal'!$D$9*'Comps &amp; Buy Box'!$D$19</f>
        <v>524433.23864110885</v>
      </c>
      <c r="E26" s="70"/>
      <c r="F26" s="71"/>
    </row>
    <row r="28" spans="1:8" ht="22" customHeight="1" x14ac:dyDescent="0.2">
      <c r="A28" s="73" t="s">
        <v>91</v>
      </c>
      <c r="B28" s="62"/>
      <c r="C28" s="62"/>
      <c r="D28" s="86">
        <f>-$D$26*'Your Deal'!$D$37</f>
        <v>-41954.659091288711</v>
      </c>
      <c r="E28" s="70"/>
      <c r="F28" s="71"/>
    </row>
    <row r="29" spans="1:8" ht="22" customHeight="1" x14ac:dyDescent="0.2">
      <c r="A29" s="73" t="s">
        <v>92</v>
      </c>
      <c r="B29" s="62"/>
      <c r="C29" s="62"/>
      <c r="D29" s="86">
        <f>-'Budget &amp; Schedule'!$D$5</f>
        <v>-129325</v>
      </c>
      <c r="E29" s="70"/>
      <c r="F29" s="71"/>
    </row>
    <row r="30" spans="1:8" ht="22" customHeight="1" x14ac:dyDescent="0.2">
      <c r="A30" s="73" t="s">
        <v>93</v>
      </c>
      <c r="B30" s="62"/>
      <c r="C30" s="62"/>
      <c r="D30" s="86">
        <f>-(('Your Deal'!$D$18*'Your Deal'!$D$20)*('Budget &amp; Schedule'!$D$8/12)+'Your Deal'!$D$18*('Your Deal'!$D$22/100))</f>
        <v>-21327.436487078405</v>
      </c>
      <c r="E30" s="70"/>
      <c r="F30" s="71"/>
    </row>
    <row r="31" spans="1:8" ht="22" customHeight="1" x14ac:dyDescent="0.2">
      <c r="A31" s="73" t="s">
        <v>94</v>
      </c>
      <c r="B31" s="62"/>
      <c r="C31" s="62"/>
      <c r="D31" s="86">
        <f>-'Your Deal'!$D$39</f>
        <v>-55000</v>
      </c>
      <c r="E31" s="70"/>
      <c r="F31" s="71"/>
    </row>
    <row r="33" spans="1:8" ht="26" customHeight="1" x14ac:dyDescent="0.2">
      <c r="A33" s="85" t="s">
        <v>95</v>
      </c>
      <c r="B33" s="62"/>
      <c r="C33" s="62"/>
      <c r="D33" s="87">
        <f>$D$26-$D$26*'Your Deal'!$D$37-'Budget &amp; Schedule'!$D$5-(('Your Deal'!$D$18*'Your Deal'!$D$20)*('Budget &amp; Schedule'!$D$8/12)+'Your Deal'!$D$18*('Your Deal'!$D$22/100))-'Your Deal'!$D$39</f>
        <v>276826.14306274173</v>
      </c>
      <c r="E33" s="70"/>
      <c r="F33" s="71"/>
    </row>
    <row r="35" spans="1:8" ht="22" customHeight="1" x14ac:dyDescent="0.2">
      <c r="A35" s="73" t="s">
        <v>96</v>
      </c>
      <c r="B35" s="62"/>
      <c r="C35" s="62"/>
      <c r="D35" s="86">
        <f>'Your Deal'!$D$11</f>
        <v>255000</v>
      </c>
      <c r="E35" s="70"/>
      <c r="F35" s="71"/>
    </row>
    <row r="36" spans="1:8" ht="22" customHeight="1" x14ac:dyDescent="0.2">
      <c r="A36" s="84" t="s">
        <v>97</v>
      </c>
      <c r="B36" s="62"/>
      <c r="C36" s="62"/>
      <c r="D36" s="86">
        <f>IF('Your Deal'!$D$11=0,"",'Comps &amp; Buy Box'!$D$33-'Your Deal'!$D$11)</f>
        <v>21826.143062741728</v>
      </c>
      <c r="E36" s="70"/>
      <c r="F36" s="71"/>
    </row>
    <row r="38" spans="1:8" ht="16" customHeight="1" x14ac:dyDescent="0.2">
      <c r="A38" s="80" t="s">
        <v>98</v>
      </c>
      <c r="B38" s="62"/>
      <c r="C38" s="62"/>
      <c r="D38" s="62"/>
      <c r="E38" s="62"/>
      <c r="F38" s="62"/>
      <c r="G38" s="62"/>
      <c r="H38" s="62"/>
    </row>
  </sheetData>
  <mergeCells count="22">
    <mergeCell ref="A36:C36"/>
    <mergeCell ref="D31:F31"/>
    <mergeCell ref="A38:H38"/>
    <mergeCell ref="D36:F36"/>
    <mergeCell ref="A35:C35"/>
    <mergeCell ref="D25:F25"/>
    <mergeCell ref="A29:C29"/>
    <mergeCell ref="D33:F33"/>
    <mergeCell ref="A28:C28"/>
    <mergeCell ref="D29:F29"/>
    <mergeCell ref="A31:C31"/>
    <mergeCell ref="D35:F35"/>
    <mergeCell ref="D26:F26"/>
    <mergeCell ref="A30:C30"/>
    <mergeCell ref="A25:C25"/>
    <mergeCell ref="A1:H1"/>
    <mergeCell ref="A26:C26"/>
    <mergeCell ref="A33:C33"/>
    <mergeCell ref="D28:F28"/>
    <mergeCell ref="D30:F30"/>
    <mergeCell ref="A2:H2"/>
    <mergeCell ref="A23:H23"/>
  </mergeCells>
  <conditionalFormatting sqref="D36:F36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4" right="0.4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853F"/>
    <pageSetUpPr fitToPage="1"/>
  </sheetPr>
  <dimension ref="A1:H74"/>
  <sheetViews>
    <sheetView showGridLines="0"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32" customWidth="1"/>
    <col min="4" max="4" width="8" customWidth="1"/>
    <col min="5" max="5" width="14" customWidth="1"/>
    <col min="6" max="6" width="9" customWidth="1"/>
    <col min="8" max="8" width="13" hidden="1" customWidth="1"/>
  </cols>
  <sheetData>
    <row r="1" spans="1:8" ht="38" customHeight="1" x14ac:dyDescent="0.2">
      <c r="A1" s="75" t="s">
        <v>99</v>
      </c>
      <c r="B1" s="62"/>
      <c r="C1" s="62"/>
      <c r="D1" s="62"/>
      <c r="E1" s="62"/>
      <c r="F1" s="62"/>
    </row>
    <row r="2" spans="1:8" ht="20" customHeight="1" x14ac:dyDescent="0.2">
      <c r="A2" s="79" t="s">
        <v>100</v>
      </c>
      <c r="B2" s="62"/>
      <c r="C2" s="62"/>
      <c r="D2" s="62"/>
      <c r="E2" s="62"/>
      <c r="F2" s="62"/>
    </row>
    <row r="3" spans="1:8" ht="4" customHeight="1" x14ac:dyDescent="0.2">
      <c r="A3" s="1"/>
      <c r="B3" s="1"/>
      <c r="C3" s="1"/>
      <c r="D3" s="1"/>
      <c r="E3" s="1"/>
      <c r="F3" s="1"/>
    </row>
    <row r="6" spans="1:8" ht="16" customHeight="1" x14ac:dyDescent="0.2">
      <c r="A6" s="80" t="s">
        <v>101</v>
      </c>
      <c r="B6" s="62"/>
      <c r="C6" s="62"/>
      <c r="D6" s="62"/>
      <c r="E6" s="62"/>
      <c r="F6" s="62"/>
    </row>
    <row r="7" spans="1:8" ht="26" customHeight="1" x14ac:dyDescent="0.2">
      <c r="A7" s="6" t="s">
        <v>102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</row>
    <row r="8" spans="1:8" ht="18" customHeight="1" x14ac:dyDescent="0.2">
      <c r="A8" s="13" t="s">
        <v>108</v>
      </c>
      <c r="B8" s="14" t="s">
        <v>109</v>
      </c>
      <c r="C8" s="14" t="s">
        <v>110</v>
      </c>
      <c r="D8" s="15" t="s">
        <v>111</v>
      </c>
      <c r="E8" s="16">
        <f>'Bid Comparison'!N8</f>
        <v>1275</v>
      </c>
      <c r="F8" s="17">
        <f>'Bid Comparison'!O8</f>
        <v>12</v>
      </c>
      <c r="H8" t="str">
        <f>IF(D8="x",A8&amp;"-"&amp;COUNTIFS($A$8:A8,A8,$D$8:D8,"x"),"")</f>
        <v>A-1</v>
      </c>
    </row>
    <row r="9" spans="1:8" ht="18" customHeight="1" x14ac:dyDescent="0.2">
      <c r="A9" s="18" t="s">
        <v>108</v>
      </c>
      <c r="B9" s="19"/>
      <c r="C9" s="19" t="s">
        <v>112</v>
      </c>
      <c r="D9" s="20"/>
      <c r="E9" s="21">
        <f>'Bid Comparison'!N9</f>
        <v>0</v>
      </c>
      <c r="F9" s="22">
        <f>'Bid Comparison'!O9</f>
        <v>0</v>
      </c>
      <c r="H9" t="str">
        <f>IF(D9="x",A9&amp;"-"&amp;COUNTIFS($A$8:A9,A9,$D$8:D9,"x"),"")</f>
        <v/>
      </c>
    </row>
    <row r="10" spans="1:8" ht="18" customHeight="1" x14ac:dyDescent="0.2">
      <c r="A10" s="18" t="s">
        <v>108</v>
      </c>
      <c r="B10" s="19"/>
      <c r="C10" s="19" t="s">
        <v>113</v>
      </c>
      <c r="D10" s="20" t="s">
        <v>111</v>
      </c>
      <c r="E10" s="21">
        <f>'Bid Comparison'!N10</f>
        <v>750</v>
      </c>
      <c r="F10" s="22">
        <f>'Bid Comparison'!O10</f>
        <v>4</v>
      </c>
      <c r="H10" t="str">
        <f>IF(D10="x",A10&amp;"-"&amp;COUNTIFS($A$8:A10,A10,$D$8:D10,"x"),"")</f>
        <v>A-2</v>
      </c>
    </row>
    <row r="11" spans="1:8" ht="18" customHeight="1" x14ac:dyDescent="0.2">
      <c r="A11" s="18" t="s">
        <v>108</v>
      </c>
      <c r="B11" s="19"/>
      <c r="C11" s="19" t="s">
        <v>114</v>
      </c>
      <c r="D11" s="20"/>
      <c r="E11" s="21">
        <f>'Bid Comparison'!N11</f>
        <v>0</v>
      </c>
      <c r="F11" s="22">
        <f>'Bid Comparison'!O11</f>
        <v>0</v>
      </c>
      <c r="H11" t="str">
        <f>IF(D11="x",A11&amp;"-"&amp;COUNTIFS($A$8:A11,A11,$D$8:D11,"x"),"")</f>
        <v/>
      </c>
    </row>
    <row r="12" spans="1:8" ht="18" customHeight="1" x14ac:dyDescent="0.2">
      <c r="A12" s="18" t="s">
        <v>108</v>
      </c>
      <c r="B12" s="19"/>
      <c r="C12" s="19" t="s">
        <v>115</v>
      </c>
      <c r="D12" s="20" t="s">
        <v>111</v>
      </c>
      <c r="E12" s="21">
        <f>'Bid Comparison'!N12</f>
        <v>1675</v>
      </c>
      <c r="F12" s="22">
        <f>'Bid Comparison'!O12</f>
        <v>0</v>
      </c>
      <c r="H12" t="str">
        <f>IF(D12="x",A12&amp;"-"&amp;COUNTIFS($A$8:A12,A12,$D$8:D12,"x"),"")</f>
        <v>A-3</v>
      </c>
    </row>
    <row r="13" spans="1:8" ht="18" customHeight="1" x14ac:dyDescent="0.2">
      <c r="A13" s="18" t="s">
        <v>108</v>
      </c>
      <c r="B13" s="19"/>
      <c r="C13" s="19" t="s">
        <v>116</v>
      </c>
      <c r="D13" s="20" t="s">
        <v>111</v>
      </c>
      <c r="E13" s="21">
        <f>'Bid Comparison'!N13</f>
        <v>400</v>
      </c>
      <c r="F13" s="22">
        <f>'Bid Comparison'!O13</f>
        <v>0</v>
      </c>
      <c r="H13" t="str">
        <f>IF(D13="x",A13&amp;"-"&amp;COUNTIFS($A$8:A13,A13,$D$8:D13,"x"),"")</f>
        <v>A-4</v>
      </c>
    </row>
    <row r="14" spans="1:8" ht="18" customHeight="1" x14ac:dyDescent="0.2">
      <c r="A14" s="18" t="s">
        <v>108</v>
      </c>
      <c r="B14" s="19"/>
      <c r="C14" s="19" t="s">
        <v>117</v>
      </c>
      <c r="D14" s="20" t="s">
        <v>111</v>
      </c>
      <c r="E14" s="21">
        <f>'Bid Comparison'!N14</f>
        <v>4225</v>
      </c>
      <c r="F14" s="22">
        <f>'Bid Comparison'!O14</f>
        <v>0</v>
      </c>
      <c r="H14" t="str">
        <f>IF(D14="x",A14&amp;"-"&amp;COUNTIFS($A$8:A14,A14,$D$8:D14,"x"),"")</f>
        <v>A-5</v>
      </c>
    </row>
    <row r="15" spans="1:8" ht="18" customHeight="1" x14ac:dyDescent="0.2">
      <c r="A15" s="18" t="s">
        <v>108</v>
      </c>
      <c r="B15" s="19"/>
      <c r="C15" s="19" t="s">
        <v>118</v>
      </c>
      <c r="D15" s="20" t="s">
        <v>111</v>
      </c>
      <c r="E15" s="21">
        <f>'Bid Comparison'!N15</f>
        <v>6600</v>
      </c>
      <c r="F15" s="22">
        <f>'Bid Comparison'!O15</f>
        <v>0</v>
      </c>
      <c r="H15" t="str">
        <f>IF(D15="x",A15&amp;"-"&amp;COUNTIFS($A$8:A15,A15,$D$8:D15,"x"),"")</f>
        <v>A-6</v>
      </c>
    </row>
    <row r="16" spans="1:8" ht="18" customHeight="1" x14ac:dyDescent="0.2">
      <c r="A16" s="13" t="s">
        <v>119</v>
      </c>
      <c r="B16" s="14" t="s">
        <v>120</v>
      </c>
      <c r="C16" s="14" t="s">
        <v>121</v>
      </c>
      <c r="D16" s="15" t="s">
        <v>111</v>
      </c>
      <c r="E16" s="16">
        <f>'Bid Comparison'!N16</f>
        <v>800</v>
      </c>
      <c r="F16" s="17">
        <f>'Bid Comparison'!O16</f>
        <v>2</v>
      </c>
      <c r="H16" t="str">
        <f>IF(D16="x",A16&amp;"-"&amp;COUNTIFS($A$8:A16,A16,$D$8:D16,"x"),"")</f>
        <v>1-1</v>
      </c>
    </row>
    <row r="17" spans="1:8" ht="18" customHeight="1" x14ac:dyDescent="0.2">
      <c r="A17" s="18" t="s">
        <v>119</v>
      </c>
      <c r="B17" s="19"/>
      <c r="C17" s="19" t="s">
        <v>122</v>
      </c>
      <c r="D17" s="20"/>
      <c r="E17" s="21">
        <f>'Bid Comparison'!N17</f>
        <v>0</v>
      </c>
      <c r="F17" s="22">
        <f>'Bid Comparison'!O17</f>
        <v>0</v>
      </c>
      <c r="H17" t="str">
        <f>IF(D17="x",A17&amp;"-"&amp;COUNTIFS($A$8:A17,A17,$D$8:D17,"x"),"")</f>
        <v/>
      </c>
    </row>
    <row r="18" spans="1:8" ht="18" customHeight="1" x14ac:dyDescent="0.2">
      <c r="A18" s="18" t="s">
        <v>119</v>
      </c>
      <c r="B18" s="19"/>
      <c r="C18" s="19" t="s">
        <v>123</v>
      </c>
      <c r="D18" s="20" t="s">
        <v>111</v>
      </c>
      <c r="E18" s="21">
        <f>'Bid Comparison'!N18</f>
        <v>4750</v>
      </c>
      <c r="F18" s="22">
        <f>'Bid Comparison'!O18</f>
        <v>6</v>
      </c>
      <c r="H18" t="str">
        <f>IF(D18="x",A18&amp;"-"&amp;COUNTIFS($A$8:A18,A18,$D$8:D18,"x"),"")</f>
        <v>1-2</v>
      </c>
    </row>
    <row r="19" spans="1:8" ht="18" customHeight="1" x14ac:dyDescent="0.2">
      <c r="A19" s="18" t="s">
        <v>119</v>
      </c>
      <c r="B19" s="19"/>
      <c r="C19" s="19" t="s">
        <v>124</v>
      </c>
      <c r="D19" s="20"/>
      <c r="E19" s="21">
        <f>'Bid Comparison'!N19</f>
        <v>0</v>
      </c>
      <c r="F19" s="22">
        <f>'Bid Comparison'!O19</f>
        <v>0</v>
      </c>
      <c r="H19" t="str">
        <f>IF(D19="x",A19&amp;"-"&amp;COUNTIFS($A$8:A19,A19,$D$8:D19,"x"),"")</f>
        <v/>
      </c>
    </row>
    <row r="20" spans="1:8" ht="18" customHeight="1" x14ac:dyDescent="0.2">
      <c r="A20" s="18" t="s">
        <v>119</v>
      </c>
      <c r="B20" s="19"/>
      <c r="C20" s="19" t="s">
        <v>125</v>
      </c>
      <c r="D20" s="20"/>
      <c r="E20" s="21">
        <f>'Bid Comparison'!N20</f>
        <v>0</v>
      </c>
      <c r="F20" s="22">
        <f>'Bid Comparison'!O20</f>
        <v>0</v>
      </c>
      <c r="H20" t="str">
        <f>IF(D20="x",A20&amp;"-"&amp;COUNTIFS($A$8:A20,A20,$D$8:D20,"x"),"")</f>
        <v/>
      </c>
    </row>
    <row r="21" spans="1:8" ht="18" customHeight="1" x14ac:dyDescent="0.2">
      <c r="A21" s="18" t="s">
        <v>119</v>
      </c>
      <c r="B21" s="19"/>
      <c r="C21" s="19" t="s">
        <v>126</v>
      </c>
      <c r="D21" s="20"/>
      <c r="E21" s="21">
        <f>'Bid Comparison'!N21</f>
        <v>0</v>
      </c>
      <c r="F21" s="22">
        <f>'Bid Comparison'!O21</f>
        <v>0</v>
      </c>
      <c r="H21" t="str">
        <f>IF(D21="x",A21&amp;"-"&amp;COUNTIFS($A$8:A21,A21,$D$8:D21,"x"),"")</f>
        <v/>
      </c>
    </row>
    <row r="22" spans="1:8" ht="18" customHeight="1" x14ac:dyDescent="0.2">
      <c r="A22" s="18" t="s">
        <v>119</v>
      </c>
      <c r="B22" s="19"/>
      <c r="C22" s="19" t="s">
        <v>127</v>
      </c>
      <c r="D22" s="20"/>
      <c r="E22" s="21">
        <f>'Bid Comparison'!N22</f>
        <v>0</v>
      </c>
      <c r="F22" s="22">
        <f>'Bid Comparison'!O22</f>
        <v>0</v>
      </c>
      <c r="H22" t="str">
        <f>IF(D22="x",A22&amp;"-"&amp;COUNTIFS($A$8:A22,A22,$D$8:D22,"x"),"")</f>
        <v/>
      </c>
    </row>
    <row r="23" spans="1:8" ht="18" customHeight="1" x14ac:dyDescent="0.2">
      <c r="A23" s="18" t="s">
        <v>119</v>
      </c>
      <c r="B23" s="19"/>
      <c r="C23" s="19" t="s">
        <v>128</v>
      </c>
      <c r="D23" s="20"/>
      <c r="E23" s="21">
        <f>'Bid Comparison'!N23</f>
        <v>0</v>
      </c>
      <c r="F23" s="22">
        <f>'Bid Comparison'!O23</f>
        <v>0</v>
      </c>
      <c r="H23" t="str">
        <f>IF(D23="x",A23&amp;"-"&amp;COUNTIFS($A$8:A23,A23,$D$8:D23,"x"),"")</f>
        <v/>
      </c>
    </row>
    <row r="24" spans="1:8" ht="18" customHeight="1" x14ac:dyDescent="0.2">
      <c r="A24" s="18" t="s">
        <v>119</v>
      </c>
      <c r="B24" s="19"/>
      <c r="C24" s="19" t="s">
        <v>129</v>
      </c>
      <c r="D24" s="20" t="s">
        <v>111</v>
      </c>
      <c r="E24" s="21">
        <f>'Bid Comparison'!N24</f>
        <v>450</v>
      </c>
      <c r="F24" s="22">
        <f>'Bid Comparison'!O24</f>
        <v>1</v>
      </c>
      <c r="H24" t="str">
        <f>IF(D24="x",A24&amp;"-"&amp;COUNTIFS($A$8:A24,A24,$D$8:D24,"x"),"")</f>
        <v>1-3</v>
      </c>
    </row>
    <row r="25" spans="1:8" ht="18" customHeight="1" x14ac:dyDescent="0.2">
      <c r="A25" s="13" t="s">
        <v>130</v>
      </c>
      <c r="B25" s="14" t="s">
        <v>131</v>
      </c>
      <c r="C25" s="14" t="s">
        <v>132</v>
      </c>
      <c r="D25" s="15" t="s">
        <v>111</v>
      </c>
      <c r="E25" s="16">
        <f>'Bid Comparison'!N25</f>
        <v>3350</v>
      </c>
      <c r="F25" s="17">
        <f>'Bid Comparison'!O25</f>
        <v>6</v>
      </c>
      <c r="H25" t="str">
        <f>IF(D25="x",A25&amp;"-"&amp;COUNTIFS($A$8:A25,A25,$D$8:D25,"x"),"")</f>
        <v>2-1</v>
      </c>
    </row>
    <row r="26" spans="1:8" ht="18" customHeight="1" x14ac:dyDescent="0.2">
      <c r="A26" s="18" t="s">
        <v>130</v>
      </c>
      <c r="B26" s="19"/>
      <c r="C26" s="19" t="s">
        <v>133</v>
      </c>
      <c r="D26" s="20" t="s">
        <v>111</v>
      </c>
      <c r="E26" s="21">
        <f>'Bid Comparison'!N26</f>
        <v>2725</v>
      </c>
      <c r="F26" s="22">
        <f>'Bid Comparison'!O26</f>
        <v>2</v>
      </c>
      <c r="H26" t="str">
        <f>IF(D26="x",A26&amp;"-"&amp;COUNTIFS($A$8:A26,A26,$D$8:D26,"x"),"")</f>
        <v>2-2</v>
      </c>
    </row>
    <row r="27" spans="1:8" ht="18" customHeight="1" x14ac:dyDescent="0.2">
      <c r="A27" s="18" t="s">
        <v>130</v>
      </c>
      <c r="B27" s="19"/>
      <c r="C27" s="19" t="s">
        <v>134</v>
      </c>
      <c r="D27" s="20"/>
      <c r="E27" s="21">
        <f>'Bid Comparison'!N27</f>
        <v>0</v>
      </c>
      <c r="F27" s="22">
        <f>'Bid Comparison'!O27</f>
        <v>0</v>
      </c>
      <c r="H27" t="str">
        <f>IF(D27="x",A27&amp;"-"&amp;COUNTIFS($A$8:A27,A27,$D$8:D27,"x"),"")</f>
        <v/>
      </c>
    </row>
    <row r="28" spans="1:8" ht="18" customHeight="1" x14ac:dyDescent="0.2">
      <c r="A28" s="18" t="s">
        <v>130</v>
      </c>
      <c r="B28" s="19"/>
      <c r="C28" s="19" t="s">
        <v>135</v>
      </c>
      <c r="D28" s="20" t="s">
        <v>111</v>
      </c>
      <c r="E28" s="21">
        <f>'Bid Comparison'!N28</f>
        <v>6950</v>
      </c>
      <c r="F28" s="22">
        <f>'Bid Comparison'!O28</f>
        <v>4</v>
      </c>
      <c r="H28" t="str">
        <f>IF(D28="x",A28&amp;"-"&amp;COUNTIFS($A$8:A28,A28,$D$8:D28,"x"),"")</f>
        <v>2-3</v>
      </c>
    </row>
    <row r="29" spans="1:8" ht="18" customHeight="1" x14ac:dyDescent="0.2">
      <c r="A29" s="18" t="s">
        <v>130</v>
      </c>
      <c r="B29" s="19"/>
      <c r="C29" s="19" t="s">
        <v>136</v>
      </c>
      <c r="D29" s="20" t="s">
        <v>111</v>
      </c>
      <c r="E29" s="21">
        <f>'Bid Comparison'!N29</f>
        <v>5450</v>
      </c>
      <c r="F29" s="22">
        <f>'Bid Comparison'!O29</f>
        <v>3</v>
      </c>
      <c r="H29" t="str">
        <f>IF(D29="x",A29&amp;"-"&amp;COUNTIFS($A$8:A29,A29,$D$8:D29,"x"),"")</f>
        <v>2-4</v>
      </c>
    </row>
    <row r="30" spans="1:8" ht="18" customHeight="1" x14ac:dyDescent="0.2">
      <c r="A30" s="18" t="s">
        <v>130</v>
      </c>
      <c r="B30" s="19"/>
      <c r="C30" s="19" t="s">
        <v>137</v>
      </c>
      <c r="D30" s="20" t="s">
        <v>111</v>
      </c>
      <c r="E30" s="21">
        <f>'Bid Comparison'!N30</f>
        <v>3875</v>
      </c>
      <c r="F30" s="22">
        <f>'Bid Comparison'!O30</f>
        <v>5</v>
      </c>
      <c r="H30" t="str">
        <f>IF(D30="x",A30&amp;"-"&amp;COUNTIFS($A$8:A30,A30,$D$8:D30,"x"),"")</f>
        <v>2-5</v>
      </c>
    </row>
    <row r="31" spans="1:8" ht="18" customHeight="1" x14ac:dyDescent="0.2">
      <c r="A31" s="18" t="s">
        <v>130</v>
      </c>
      <c r="B31" s="19"/>
      <c r="C31" s="19" t="s">
        <v>138</v>
      </c>
      <c r="D31" s="20" t="s">
        <v>111</v>
      </c>
      <c r="E31" s="21">
        <f>'Bid Comparison'!N31</f>
        <v>4300</v>
      </c>
      <c r="F31" s="22">
        <f>'Bid Comparison'!O31</f>
        <v>6</v>
      </c>
      <c r="H31" t="str">
        <f>IF(D31="x",A31&amp;"-"&amp;COUNTIFS($A$8:A31,A31,$D$8:D31,"x"),"")</f>
        <v>2-6</v>
      </c>
    </row>
    <row r="32" spans="1:8" ht="18" customHeight="1" x14ac:dyDescent="0.2">
      <c r="A32" s="18" t="s">
        <v>130</v>
      </c>
      <c r="B32" s="19"/>
      <c r="C32" s="19" t="s">
        <v>139</v>
      </c>
      <c r="D32" s="20" t="s">
        <v>111</v>
      </c>
      <c r="E32" s="21">
        <f>'Bid Comparison'!N32</f>
        <v>5975</v>
      </c>
      <c r="F32" s="22">
        <f>'Bid Comparison'!O32</f>
        <v>4</v>
      </c>
      <c r="H32" t="str">
        <f>IF(D32="x",A32&amp;"-"&amp;COUNTIFS($A$8:A32,A32,$D$8:D32,"x"),"")</f>
        <v>2-7</v>
      </c>
    </row>
    <row r="33" spans="1:8" ht="18" customHeight="1" x14ac:dyDescent="0.2">
      <c r="A33" s="18" t="s">
        <v>130</v>
      </c>
      <c r="B33" s="19"/>
      <c r="C33" s="19" t="s">
        <v>140</v>
      </c>
      <c r="D33" s="20"/>
      <c r="E33" s="21">
        <f>'Bid Comparison'!N33</f>
        <v>0</v>
      </c>
      <c r="F33" s="22">
        <f>'Bid Comparison'!O33</f>
        <v>0</v>
      </c>
      <c r="H33" t="str">
        <f>IF(D33="x",A33&amp;"-"&amp;COUNTIFS($A$8:A33,A33,$D$8:D33,"x"),"")</f>
        <v/>
      </c>
    </row>
    <row r="34" spans="1:8" ht="18" customHeight="1" x14ac:dyDescent="0.2">
      <c r="A34" s="18" t="s">
        <v>130</v>
      </c>
      <c r="B34" s="19"/>
      <c r="C34" s="19" t="s">
        <v>141</v>
      </c>
      <c r="D34" s="20" t="s">
        <v>111</v>
      </c>
      <c r="E34" s="21">
        <f>'Bid Comparison'!N34</f>
        <v>300</v>
      </c>
      <c r="F34" s="22">
        <f>'Bid Comparison'!O34</f>
        <v>3</v>
      </c>
      <c r="H34" t="str">
        <f>IF(D34="x",A34&amp;"-"&amp;COUNTIFS($A$8:A34,A34,$D$8:D34,"x"),"")</f>
        <v>2-8</v>
      </c>
    </row>
    <row r="35" spans="1:8" ht="18" customHeight="1" x14ac:dyDescent="0.2">
      <c r="A35" s="13" t="s">
        <v>142</v>
      </c>
      <c r="B35" s="14" t="s">
        <v>143</v>
      </c>
      <c r="C35" s="14" t="s">
        <v>144</v>
      </c>
      <c r="D35" s="15" t="s">
        <v>111</v>
      </c>
      <c r="E35" s="16">
        <f>'Bid Comparison'!N35</f>
        <v>1850</v>
      </c>
      <c r="F35" s="17">
        <f>'Bid Comparison'!O35</f>
        <v>2</v>
      </c>
      <c r="H35" t="str">
        <f>IF(D35="x",A35&amp;"-"&amp;COUNTIFS($A$8:A35,A35,$D$8:D35,"x"),"")</f>
        <v>3-1</v>
      </c>
    </row>
    <row r="36" spans="1:8" ht="18" customHeight="1" x14ac:dyDescent="0.2">
      <c r="A36" s="18" t="s">
        <v>142</v>
      </c>
      <c r="B36" s="19"/>
      <c r="C36" s="19" t="s">
        <v>145</v>
      </c>
      <c r="D36" s="20" t="s">
        <v>111</v>
      </c>
      <c r="E36" s="21">
        <f>'Bid Comparison'!N36</f>
        <v>5625</v>
      </c>
      <c r="F36" s="22">
        <f>'Bid Comparison'!O36</f>
        <v>8</v>
      </c>
      <c r="H36" t="str">
        <f>IF(D36="x",A36&amp;"-"&amp;COUNTIFS($A$8:A36,A36,$D$8:D36,"x"),"")</f>
        <v>3-2</v>
      </c>
    </row>
    <row r="37" spans="1:8" ht="18" customHeight="1" x14ac:dyDescent="0.2">
      <c r="A37" s="18" t="s">
        <v>142</v>
      </c>
      <c r="B37" s="19"/>
      <c r="C37" s="19" t="s">
        <v>146</v>
      </c>
      <c r="D37" s="20" t="s">
        <v>111</v>
      </c>
      <c r="E37" s="21">
        <f>'Bid Comparison'!N37</f>
        <v>2025</v>
      </c>
      <c r="F37" s="22">
        <f>'Bid Comparison'!O37</f>
        <v>3</v>
      </c>
      <c r="H37" t="str">
        <f>IF(D37="x",A37&amp;"-"&amp;COUNTIFS($A$8:A37,A37,$D$8:D37,"x"),"")</f>
        <v>3-3</v>
      </c>
    </row>
    <row r="38" spans="1:8" ht="18" customHeight="1" x14ac:dyDescent="0.2">
      <c r="A38" s="18" t="s">
        <v>142</v>
      </c>
      <c r="B38" s="19"/>
      <c r="C38" s="19" t="s">
        <v>147</v>
      </c>
      <c r="D38" s="20" t="s">
        <v>111</v>
      </c>
      <c r="E38" s="21">
        <f>'Bid Comparison'!N38</f>
        <v>2550</v>
      </c>
      <c r="F38" s="22">
        <f>'Bid Comparison'!O38</f>
        <v>4</v>
      </c>
      <c r="H38" t="str">
        <f>IF(D38="x",A38&amp;"-"&amp;COUNTIFS($A$8:A38,A38,$D$8:D38,"x"),"")</f>
        <v>3-4</v>
      </c>
    </row>
    <row r="39" spans="1:8" ht="18" customHeight="1" x14ac:dyDescent="0.2">
      <c r="A39" s="18" t="s">
        <v>142</v>
      </c>
      <c r="B39" s="19"/>
      <c r="C39" s="19" t="s">
        <v>148</v>
      </c>
      <c r="D39" s="20"/>
      <c r="E39" s="21">
        <f>'Bid Comparison'!N39</f>
        <v>0</v>
      </c>
      <c r="F39" s="22">
        <f>'Bid Comparison'!O39</f>
        <v>0</v>
      </c>
      <c r="H39" t="str">
        <f>IF(D39="x",A39&amp;"-"&amp;COUNTIFS($A$8:A39,A39,$D$8:D39,"x"),"")</f>
        <v/>
      </c>
    </row>
    <row r="40" spans="1:8" ht="18" customHeight="1" x14ac:dyDescent="0.2">
      <c r="A40" s="18" t="s">
        <v>142</v>
      </c>
      <c r="B40" s="19"/>
      <c r="C40" s="19" t="s">
        <v>149</v>
      </c>
      <c r="D40" s="20" t="s">
        <v>111</v>
      </c>
      <c r="E40" s="21">
        <f>'Bid Comparison'!N40</f>
        <v>4050</v>
      </c>
      <c r="F40" s="22">
        <f>'Bid Comparison'!O40</f>
        <v>5</v>
      </c>
      <c r="H40" t="str">
        <f>IF(D40="x",A40&amp;"-"&amp;COUNTIFS($A$8:A40,A40,$D$8:D40,"x"),"")</f>
        <v>3-5</v>
      </c>
    </row>
    <row r="41" spans="1:8" ht="18" customHeight="1" x14ac:dyDescent="0.2">
      <c r="A41" s="13" t="s">
        <v>150</v>
      </c>
      <c r="B41" s="14" t="s">
        <v>151</v>
      </c>
      <c r="C41" s="14" t="s">
        <v>152</v>
      </c>
      <c r="D41" s="15" t="s">
        <v>111</v>
      </c>
      <c r="E41" s="16">
        <f>'Bid Comparison'!N41</f>
        <v>6075</v>
      </c>
      <c r="F41" s="17">
        <f>'Bid Comparison'!O41</f>
        <v>4</v>
      </c>
      <c r="H41" t="str">
        <f>IF(D41="x",A41&amp;"-"&amp;COUNTIFS($A$8:A41,A41,$D$8:D41,"x"),"")</f>
        <v>4-1</v>
      </c>
    </row>
    <row r="42" spans="1:8" ht="18" customHeight="1" x14ac:dyDescent="0.2">
      <c r="A42" s="18" t="s">
        <v>150</v>
      </c>
      <c r="B42" s="19"/>
      <c r="C42" s="19" t="s">
        <v>153</v>
      </c>
      <c r="D42" s="20" t="s">
        <v>111</v>
      </c>
      <c r="E42" s="21">
        <f>'Bid Comparison'!N42</f>
        <v>1625</v>
      </c>
      <c r="F42" s="22">
        <f>'Bid Comparison'!O42</f>
        <v>2</v>
      </c>
      <c r="H42" t="str">
        <f>IF(D42="x",A42&amp;"-"&amp;COUNTIFS($A$8:A42,A42,$D$8:D42,"x"),"")</f>
        <v>4-2</v>
      </c>
    </row>
    <row r="43" spans="1:8" ht="18" customHeight="1" x14ac:dyDescent="0.2">
      <c r="A43" s="18" t="s">
        <v>150</v>
      </c>
      <c r="B43" s="19"/>
      <c r="C43" s="19" t="s">
        <v>154</v>
      </c>
      <c r="D43" s="20" t="s">
        <v>111</v>
      </c>
      <c r="E43" s="21">
        <f>'Bid Comparison'!N43</f>
        <v>675</v>
      </c>
      <c r="F43" s="22">
        <f>'Bid Comparison'!O43</f>
        <v>1</v>
      </c>
      <c r="H43" t="str">
        <f>IF(D43="x",A43&amp;"-"&amp;COUNTIFS($A$8:A43,A43,$D$8:D43,"x"),"")</f>
        <v>4-3</v>
      </c>
    </row>
    <row r="44" spans="1:8" ht="18" customHeight="1" x14ac:dyDescent="0.2">
      <c r="A44" s="18" t="s">
        <v>150</v>
      </c>
      <c r="B44" s="19"/>
      <c r="C44" s="19" t="s">
        <v>155</v>
      </c>
      <c r="D44" s="20"/>
      <c r="E44" s="21">
        <f>'Bid Comparison'!N44</f>
        <v>0</v>
      </c>
      <c r="F44" s="22">
        <f>'Bid Comparison'!O44</f>
        <v>0</v>
      </c>
      <c r="H44" t="str">
        <f>IF(D44="x",A44&amp;"-"&amp;COUNTIFS($A$8:A44,A44,$D$8:D44,"x"),"")</f>
        <v/>
      </c>
    </row>
    <row r="45" spans="1:8" ht="18" customHeight="1" x14ac:dyDescent="0.2">
      <c r="A45" s="18" t="s">
        <v>150</v>
      </c>
      <c r="B45" s="19"/>
      <c r="C45" s="19" t="s">
        <v>156</v>
      </c>
      <c r="D45" s="20" t="s">
        <v>111</v>
      </c>
      <c r="E45" s="21">
        <f>'Bid Comparison'!N45</f>
        <v>3700</v>
      </c>
      <c r="F45" s="22">
        <f>'Bid Comparison'!O45</f>
        <v>3</v>
      </c>
      <c r="H45" t="str">
        <f>IF(D45="x",A45&amp;"-"&amp;COUNTIFS($A$8:A45,A45,$D$8:D45,"x"),"")</f>
        <v>4-4</v>
      </c>
    </row>
    <row r="46" spans="1:8" ht="18" customHeight="1" x14ac:dyDescent="0.2">
      <c r="A46" s="18" t="s">
        <v>150</v>
      </c>
      <c r="B46" s="19"/>
      <c r="C46" s="19" t="s">
        <v>157</v>
      </c>
      <c r="D46" s="20" t="s">
        <v>111</v>
      </c>
      <c r="E46" s="21">
        <f>'Bid Comparison'!N46</f>
        <v>550</v>
      </c>
      <c r="F46" s="22">
        <f>'Bid Comparison'!O46</f>
        <v>1</v>
      </c>
      <c r="H46" t="str">
        <f>IF(D46="x",A46&amp;"-"&amp;COUNTIFS($A$8:A46,A46,$D$8:D46,"x"),"")</f>
        <v>4-5</v>
      </c>
    </row>
    <row r="47" spans="1:8" ht="18" customHeight="1" x14ac:dyDescent="0.2">
      <c r="A47" s="13" t="s">
        <v>158</v>
      </c>
      <c r="B47" s="14" t="s">
        <v>159</v>
      </c>
      <c r="C47" s="14" t="s">
        <v>160</v>
      </c>
      <c r="D47" s="15" t="s">
        <v>111</v>
      </c>
      <c r="E47" s="16">
        <f>'Bid Comparison'!N47</f>
        <v>925</v>
      </c>
      <c r="F47" s="17">
        <f>'Bid Comparison'!O47</f>
        <v>2</v>
      </c>
      <c r="H47" t="str">
        <f>IF(D47="x",A47&amp;"-"&amp;COUNTIFS($A$8:A47,A47,$D$8:D47,"x"),"")</f>
        <v>5-1</v>
      </c>
    </row>
    <row r="48" spans="1:8" ht="18" customHeight="1" x14ac:dyDescent="0.2">
      <c r="A48" s="18" t="s">
        <v>158</v>
      </c>
      <c r="B48" s="19"/>
      <c r="C48" s="19" t="s">
        <v>161</v>
      </c>
      <c r="D48" s="20" t="s">
        <v>111</v>
      </c>
      <c r="E48" s="21">
        <f>'Bid Comparison'!N48</f>
        <v>3000</v>
      </c>
      <c r="F48" s="22">
        <f>'Bid Comparison'!O48</f>
        <v>4</v>
      </c>
      <c r="H48" t="str">
        <f>IF(D48="x",A48&amp;"-"&amp;COUNTIFS($A$8:A48,A48,$D$8:D48,"x"),"")</f>
        <v>5-2</v>
      </c>
    </row>
    <row r="49" spans="1:8" ht="18" customHeight="1" x14ac:dyDescent="0.2">
      <c r="A49" s="18" t="s">
        <v>158</v>
      </c>
      <c r="B49" s="19"/>
      <c r="C49" s="19" t="s">
        <v>162</v>
      </c>
      <c r="D49" s="20" t="s">
        <v>111</v>
      </c>
      <c r="E49" s="21">
        <f>'Bid Comparison'!N49</f>
        <v>2475</v>
      </c>
      <c r="F49" s="22">
        <f>'Bid Comparison'!O49</f>
        <v>4</v>
      </c>
      <c r="H49" t="str">
        <f>IF(D49="x",A49&amp;"-"&amp;COUNTIFS($A$8:A49,A49,$D$8:D49,"x"),"")</f>
        <v>5-3</v>
      </c>
    </row>
    <row r="50" spans="1:8" ht="18" customHeight="1" x14ac:dyDescent="0.2">
      <c r="A50" s="18" t="s">
        <v>158</v>
      </c>
      <c r="B50" s="19"/>
      <c r="C50" s="19" t="s">
        <v>163</v>
      </c>
      <c r="D50" s="20" t="s">
        <v>111</v>
      </c>
      <c r="E50" s="21">
        <f>'Bid Comparison'!N50</f>
        <v>1000</v>
      </c>
      <c r="F50" s="22">
        <f>'Bid Comparison'!O50</f>
        <v>2</v>
      </c>
      <c r="H50" t="str">
        <f>IF(D50="x",A50&amp;"-"&amp;COUNTIFS($A$8:A50,A50,$D$8:D50,"x"),"")</f>
        <v>5-4</v>
      </c>
    </row>
    <row r="51" spans="1:8" ht="18" customHeight="1" x14ac:dyDescent="0.2">
      <c r="A51" s="18" t="s">
        <v>158</v>
      </c>
      <c r="B51" s="19"/>
      <c r="C51" s="19" t="s">
        <v>164</v>
      </c>
      <c r="D51" s="20" t="s">
        <v>111</v>
      </c>
      <c r="E51" s="21">
        <f>'Bid Comparison'!N51</f>
        <v>5200</v>
      </c>
      <c r="F51" s="22">
        <f>'Bid Comparison'!O51</f>
        <v>4</v>
      </c>
      <c r="H51" t="str">
        <f>IF(D51="x",A51&amp;"-"&amp;COUNTIFS($A$8:A51,A51,$D$8:D51,"x"),"")</f>
        <v>5-5</v>
      </c>
    </row>
    <row r="52" spans="1:8" ht="18" customHeight="1" x14ac:dyDescent="0.2">
      <c r="A52" s="18" t="s">
        <v>158</v>
      </c>
      <c r="B52" s="19"/>
      <c r="C52" s="19" t="s">
        <v>165</v>
      </c>
      <c r="D52" s="20" t="s">
        <v>111</v>
      </c>
      <c r="E52" s="21">
        <f>'Bid Comparison'!N52</f>
        <v>450</v>
      </c>
      <c r="F52" s="22">
        <f>'Bid Comparison'!O52</f>
        <v>1</v>
      </c>
      <c r="H52" t="str">
        <f>IF(D52="x",A52&amp;"-"&amp;COUNTIFS($A$8:A52,A52,$D$8:D52,"x"),"")</f>
        <v>5-6</v>
      </c>
    </row>
    <row r="53" spans="1:8" ht="18" customHeight="1" x14ac:dyDescent="0.2">
      <c r="A53" s="13" t="s">
        <v>13</v>
      </c>
      <c r="B53" s="14" t="s">
        <v>166</v>
      </c>
      <c r="C53" s="14" t="s">
        <v>167</v>
      </c>
      <c r="D53" s="15" t="s">
        <v>111</v>
      </c>
      <c r="E53" s="16">
        <f>'Bid Comparison'!N53</f>
        <v>2900</v>
      </c>
      <c r="F53" s="17">
        <f>'Bid Comparison'!O53</f>
        <v>5</v>
      </c>
      <c r="H53" t="str">
        <f>IF(D53="x",A53&amp;"-"&amp;COUNTIFS($A$8:A53,A53,$D$8:D53,"x"),"")</f>
        <v>6-1</v>
      </c>
    </row>
    <row r="54" spans="1:8" ht="18" customHeight="1" x14ac:dyDescent="0.2">
      <c r="A54" s="18" t="s">
        <v>13</v>
      </c>
      <c r="B54" s="19"/>
      <c r="C54" s="19" t="s">
        <v>168</v>
      </c>
      <c r="D54" s="20" t="s">
        <v>111</v>
      </c>
      <c r="E54" s="21">
        <f>'Bid Comparison'!N54</f>
        <v>1400</v>
      </c>
      <c r="F54" s="22">
        <f>'Bid Comparison'!O54</f>
        <v>3</v>
      </c>
      <c r="H54" t="str">
        <f>IF(D54="x",A54&amp;"-"&amp;COUNTIFS($A$8:A54,A54,$D$8:D54,"x"),"")</f>
        <v>6-2</v>
      </c>
    </row>
    <row r="55" spans="1:8" ht="18" customHeight="1" x14ac:dyDescent="0.2">
      <c r="A55" s="18" t="s">
        <v>13</v>
      </c>
      <c r="B55" s="19"/>
      <c r="C55" s="19" t="s">
        <v>169</v>
      </c>
      <c r="D55" s="20"/>
      <c r="E55" s="21">
        <f>'Bid Comparison'!N55</f>
        <v>0</v>
      </c>
      <c r="F55" s="22">
        <f>'Bid Comparison'!O55</f>
        <v>0</v>
      </c>
      <c r="H55" t="str">
        <f>IF(D55="x",A55&amp;"-"&amp;COUNTIFS($A$8:A55,A55,$D$8:D55,"x"),"")</f>
        <v/>
      </c>
    </row>
    <row r="56" spans="1:8" ht="18" customHeight="1" x14ac:dyDescent="0.2">
      <c r="A56" s="18" t="s">
        <v>13</v>
      </c>
      <c r="B56" s="19"/>
      <c r="C56" s="19" t="s">
        <v>170</v>
      </c>
      <c r="D56" s="20" t="s">
        <v>111</v>
      </c>
      <c r="E56" s="21">
        <f>'Bid Comparison'!N56</f>
        <v>2150</v>
      </c>
      <c r="F56" s="22">
        <f>'Bid Comparison'!O56</f>
        <v>3</v>
      </c>
      <c r="H56" t="str">
        <f>IF(D56="x",A56&amp;"-"&amp;COUNTIFS($A$8:A56,A56,$D$8:D56,"x"),"")</f>
        <v>6-3</v>
      </c>
    </row>
    <row r="57" spans="1:8" ht="18" customHeight="1" x14ac:dyDescent="0.2">
      <c r="A57" s="18" t="s">
        <v>13</v>
      </c>
      <c r="B57" s="19"/>
      <c r="C57" s="19" t="s">
        <v>171</v>
      </c>
      <c r="D57" s="20"/>
      <c r="E57" s="21">
        <f>'Bid Comparison'!N57</f>
        <v>0</v>
      </c>
      <c r="F57" s="22">
        <f>'Bid Comparison'!O57</f>
        <v>0</v>
      </c>
      <c r="H57" t="str">
        <f>IF(D57="x",A57&amp;"-"&amp;COUNTIFS($A$8:A57,A57,$D$8:D57,"x"),"")</f>
        <v/>
      </c>
    </row>
    <row r="58" spans="1:8" ht="18" customHeight="1" x14ac:dyDescent="0.2">
      <c r="A58" s="18" t="s">
        <v>13</v>
      </c>
      <c r="B58" s="19"/>
      <c r="C58" s="19" t="s">
        <v>172</v>
      </c>
      <c r="D58" s="20" t="s">
        <v>111</v>
      </c>
      <c r="E58" s="21">
        <f>'Bid Comparison'!N58</f>
        <v>3250</v>
      </c>
      <c r="F58" s="22">
        <f>'Bid Comparison'!O58</f>
        <v>4</v>
      </c>
      <c r="H58" t="str">
        <f>IF(D58="x",A58&amp;"-"&amp;COUNTIFS($A$8:A58,A58,$D$8:D58,"x"),"")</f>
        <v>6-4</v>
      </c>
    </row>
    <row r="59" spans="1:8" ht="18" customHeight="1" x14ac:dyDescent="0.2">
      <c r="A59" s="18" t="s">
        <v>13</v>
      </c>
      <c r="B59" s="19"/>
      <c r="C59" s="19" t="s">
        <v>173</v>
      </c>
      <c r="D59" s="20" t="s">
        <v>111</v>
      </c>
      <c r="E59" s="21">
        <f>'Bid Comparison'!N59</f>
        <v>575</v>
      </c>
      <c r="F59" s="22">
        <f>'Bid Comparison'!O59</f>
        <v>1</v>
      </c>
      <c r="H59" t="str">
        <f>IF(D59="x",A59&amp;"-"&amp;COUNTIFS($A$8:A59,A59,$D$8:D59,"x"),"")</f>
        <v>6-5</v>
      </c>
    </row>
    <row r="60" spans="1:8" ht="18" customHeight="1" x14ac:dyDescent="0.2">
      <c r="A60" s="18" t="s">
        <v>13</v>
      </c>
      <c r="B60" s="19"/>
      <c r="C60" s="19" t="s">
        <v>174</v>
      </c>
      <c r="D60" s="20" t="s">
        <v>111</v>
      </c>
      <c r="E60" s="21">
        <f>'Bid Comparison'!N60</f>
        <v>4225</v>
      </c>
      <c r="F60" s="22">
        <f>'Bid Comparison'!O60</f>
        <v>6</v>
      </c>
      <c r="H60" t="str">
        <f>IF(D60="x",A60&amp;"-"&amp;COUNTIFS($A$8:A60,A60,$D$8:D60,"x"),"")</f>
        <v>6-6</v>
      </c>
    </row>
    <row r="61" spans="1:8" ht="18" customHeight="1" x14ac:dyDescent="0.2">
      <c r="A61" s="13" t="s">
        <v>175</v>
      </c>
      <c r="B61" s="14" t="s">
        <v>176</v>
      </c>
      <c r="C61" s="14" t="s">
        <v>177</v>
      </c>
      <c r="D61" s="15" t="s">
        <v>111</v>
      </c>
      <c r="E61" s="16">
        <f>'Bid Comparison'!N61</f>
        <v>1750</v>
      </c>
      <c r="F61" s="17">
        <f>'Bid Comparison'!O61</f>
        <v>3</v>
      </c>
      <c r="H61" t="str">
        <f>IF(D61="x",A61&amp;"-"&amp;COUNTIFS($A$8:A61,A61,$D$8:D61,"x"),"")</f>
        <v>7-1</v>
      </c>
    </row>
    <row r="62" spans="1:8" ht="18" customHeight="1" x14ac:dyDescent="0.2">
      <c r="A62" s="18" t="s">
        <v>175</v>
      </c>
      <c r="B62" s="19"/>
      <c r="C62" s="19" t="s">
        <v>178</v>
      </c>
      <c r="D62" s="20" t="s">
        <v>111</v>
      </c>
      <c r="E62" s="21">
        <f>'Bid Comparison'!N62</f>
        <v>1550</v>
      </c>
      <c r="F62" s="22">
        <f>'Bid Comparison'!O62</f>
        <v>3</v>
      </c>
      <c r="H62" t="str">
        <f>IF(D62="x",A62&amp;"-"&amp;COUNTIFS($A$8:A62,A62,$D$8:D62,"x"),"")</f>
        <v>7-2</v>
      </c>
    </row>
    <row r="63" spans="1:8" ht="18" customHeight="1" x14ac:dyDescent="0.2">
      <c r="A63" s="18" t="s">
        <v>175</v>
      </c>
      <c r="B63" s="19"/>
      <c r="C63" s="19" t="s">
        <v>179</v>
      </c>
      <c r="D63" s="20" t="s">
        <v>111</v>
      </c>
      <c r="E63" s="21">
        <f>'Bid Comparison'!N63</f>
        <v>700</v>
      </c>
      <c r="F63" s="22">
        <f>'Bid Comparison'!O63</f>
        <v>2</v>
      </c>
      <c r="H63" t="str">
        <f>IF(D63="x",A63&amp;"-"&amp;COUNTIFS($A$8:A63,A63,$D$8:D63,"x"),"")</f>
        <v>7-3</v>
      </c>
    </row>
    <row r="64" spans="1:8" ht="18" customHeight="1" x14ac:dyDescent="0.2">
      <c r="A64" s="18" t="s">
        <v>175</v>
      </c>
      <c r="B64" s="19"/>
      <c r="C64" s="19" t="s">
        <v>180</v>
      </c>
      <c r="D64" s="20" t="s">
        <v>111</v>
      </c>
      <c r="E64" s="21">
        <f>'Bid Comparison'!N64</f>
        <v>1850</v>
      </c>
      <c r="F64" s="22">
        <f>'Bid Comparison'!O64</f>
        <v>2</v>
      </c>
      <c r="H64" t="str">
        <f>IF(D64="x",A64&amp;"-"&amp;COUNTIFS($A$8:A64,A64,$D$8:D64,"x"),"")</f>
        <v>7-4</v>
      </c>
    </row>
    <row r="65" spans="1:8" ht="18" customHeight="1" x14ac:dyDescent="0.2">
      <c r="A65" s="18" t="s">
        <v>175</v>
      </c>
      <c r="B65" s="19"/>
      <c r="C65" s="19" t="s">
        <v>181</v>
      </c>
      <c r="D65" s="20" t="s">
        <v>111</v>
      </c>
      <c r="E65" s="21">
        <f>'Bid Comparison'!N65</f>
        <v>450</v>
      </c>
      <c r="F65" s="22">
        <f>'Bid Comparison'!O65</f>
        <v>1</v>
      </c>
      <c r="H65" t="str">
        <f>IF(D65="x",A65&amp;"-"&amp;COUNTIFS($A$8:A65,A65,$D$8:D65,"x"),"")</f>
        <v>7-5</v>
      </c>
    </row>
    <row r="66" spans="1:8" ht="18" customHeight="1" x14ac:dyDescent="0.2">
      <c r="A66" s="18" t="s">
        <v>175</v>
      </c>
      <c r="B66" s="19"/>
      <c r="C66" s="19" t="s">
        <v>182</v>
      </c>
      <c r="D66" s="20" t="s">
        <v>111</v>
      </c>
      <c r="E66" s="21">
        <f>'Bid Comparison'!N66</f>
        <v>4050</v>
      </c>
      <c r="F66" s="22">
        <f>'Bid Comparison'!O66</f>
        <v>1</v>
      </c>
      <c r="H66" t="str">
        <f>IF(D66="x",A66&amp;"-"&amp;COUNTIFS($A$8:A66,A66,$D$8:D66,"x"),"")</f>
        <v>7-6</v>
      </c>
    </row>
    <row r="67" spans="1:8" ht="18" customHeight="1" x14ac:dyDescent="0.2">
      <c r="A67" s="18" t="s">
        <v>175</v>
      </c>
      <c r="B67" s="19"/>
      <c r="C67" s="19" t="s">
        <v>183</v>
      </c>
      <c r="D67" s="20" t="s">
        <v>111</v>
      </c>
      <c r="E67" s="21">
        <f>'Bid Comparison'!N67</f>
        <v>1325</v>
      </c>
      <c r="F67" s="22">
        <f>'Bid Comparison'!O67</f>
        <v>1</v>
      </c>
      <c r="H67" t="str">
        <f>IF(D67="x",A67&amp;"-"&amp;COUNTIFS($A$8:A67,A67,$D$8:D67,"x"),"")</f>
        <v>7-7</v>
      </c>
    </row>
    <row r="68" spans="1:8" ht="18" customHeight="1" x14ac:dyDescent="0.2">
      <c r="A68" s="18" t="s">
        <v>175</v>
      </c>
      <c r="B68" s="19"/>
      <c r="C68" s="19" t="s">
        <v>184</v>
      </c>
      <c r="D68" s="20" t="s">
        <v>111</v>
      </c>
      <c r="E68" s="21">
        <f>'Bid Comparison'!N68</f>
        <v>400</v>
      </c>
      <c r="F68" s="22">
        <f>'Bid Comparison'!O68</f>
        <v>2</v>
      </c>
      <c r="H68" t="str">
        <f>IF(D68="x",A68&amp;"-"&amp;COUNTIFS($A$8:A68,A68,$D$8:D68,"x"),"")</f>
        <v>7-8</v>
      </c>
    </row>
    <row r="69" spans="1:8" ht="18" customHeight="1" x14ac:dyDescent="0.2">
      <c r="A69" s="13" t="s">
        <v>185</v>
      </c>
      <c r="B69" s="14" t="s">
        <v>186</v>
      </c>
      <c r="C69" s="14" t="s">
        <v>187</v>
      </c>
      <c r="D69" s="15" t="s">
        <v>111</v>
      </c>
      <c r="E69" s="16">
        <f>'Bid Comparison'!N69</f>
        <v>1400</v>
      </c>
      <c r="F69" s="17">
        <f>'Bid Comparison'!O69</f>
        <v>4</v>
      </c>
      <c r="H69" t="str">
        <f>IF(D69="x",A69&amp;"-"&amp;COUNTIFS($A$8:A69,A69,$D$8:D69,"x"),"")</f>
        <v>8-1</v>
      </c>
    </row>
    <row r="70" spans="1:8" ht="18" customHeight="1" x14ac:dyDescent="0.2">
      <c r="A70" s="18" t="s">
        <v>185</v>
      </c>
      <c r="B70" s="19"/>
      <c r="C70" s="19" t="s">
        <v>188</v>
      </c>
      <c r="D70" s="20" t="s">
        <v>111</v>
      </c>
      <c r="E70" s="21">
        <f>'Bid Comparison'!N70</f>
        <v>1925</v>
      </c>
      <c r="F70" s="22">
        <f>'Bid Comparison'!O70</f>
        <v>2</v>
      </c>
      <c r="H70" t="str">
        <f>IF(D70="x",A70&amp;"-"&amp;COUNTIFS($A$8:A70,A70,$D$8:D70,"x"),"")</f>
        <v>8-2</v>
      </c>
    </row>
    <row r="71" spans="1:8" ht="18" customHeight="1" x14ac:dyDescent="0.2">
      <c r="A71" s="18" t="s">
        <v>185</v>
      </c>
      <c r="B71" s="19"/>
      <c r="C71" s="19" t="s">
        <v>189</v>
      </c>
      <c r="D71" s="20" t="s">
        <v>111</v>
      </c>
      <c r="E71" s="21">
        <f>'Bid Comparison'!N71</f>
        <v>625</v>
      </c>
      <c r="F71" s="22">
        <f>'Bid Comparison'!O71</f>
        <v>2</v>
      </c>
      <c r="H71" t="str">
        <f>IF(D71="x",A71&amp;"-"&amp;COUNTIFS($A$8:A71,A71,$D$8:D71,"x"),"")</f>
        <v>8-3</v>
      </c>
    </row>
    <row r="72" spans="1:8" ht="18" customHeight="1" x14ac:dyDescent="0.2">
      <c r="A72" s="18" t="s">
        <v>185</v>
      </c>
      <c r="B72" s="19"/>
      <c r="C72" s="19" t="s">
        <v>190</v>
      </c>
      <c r="D72" s="20" t="s">
        <v>111</v>
      </c>
      <c r="E72" s="21">
        <f>'Bid Comparison'!N72</f>
        <v>2200</v>
      </c>
      <c r="F72" s="22">
        <f>'Bid Comparison'!O72</f>
        <v>2</v>
      </c>
      <c r="H72" t="str">
        <f>IF(D72="x",A72&amp;"-"&amp;COUNTIFS($A$8:A72,A72,$D$8:D72,"x"),"")</f>
        <v>8-4</v>
      </c>
    </row>
    <row r="73" spans="1:8" ht="18" customHeight="1" x14ac:dyDescent="0.2">
      <c r="A73" s="18" t="s">
        <v>185</v>
      </c>
      <c r="B73" s="19"/>
      <c r="C73" s="19" t="s">
        <v>191</v>
      </c>
      <c r="D73" s="20" t="s">
        <v>111</v>
      </c>
      <c r="E73" s="21">
        <f>'Bid Comparison'!N73</f>
        <v>975</v>
      </c>
      <c r="F73" s="22">
        <f>'Bid Comparison'!O73</f>
        <v>0</v>
      </c>
      <c r="H73" t="str">
        <f>IF(D73="x",A73&amp;"-"&amp;COUNTIFS($A$8:A73,A73,$D$8:D73,"x"),"")</f>
        <v>8-5</v>
      </c>
    </row>
    <row r="74" spans="1:8" ht="16" x14ac:dyDescent="0.2">
      <c r="C74" s="11" t="s">
        <v>192</v>
      </c>
      <c r="D74" s="23">
        <f>COUNTIF(D8:D73,"x")</f>
        <v>52</v>
      </c>
      <c r="E74" s="24">
        <f>SUMIF($D$8:$D$73,"x",$E$8:$E$73)</f>
        <v>129325</v>
      </c>
    </row>
  </sheetData>
  <mergeCells count="3">
    <mergeCell ref="A2:F2"/>
    <mergeCell ref="A6:F6"/>
    <mergeCell ref="A1:F1"/>
  </mergeCells>
  <conditionalFormatting sqref="A8:F73">
    <cfRule type="expression" dxfId="6" priority="1">
      <formula>$D8=""</formula>
    </cfRule>
  </conditionalFormatting>
  <pageMargins left="0.4" right="0.4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2A39"/>
    <pageSetUpPr fitToPage="1"/>
  </sheetPr>
  <dimension ref="A1:H38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46" customWidth="1"/>
    <col min="3" max="3" width="16" customWidth="1"/>
    <col min="4" max="4" width="10" customWidth="1"/>
    <col min="5" max="5" width="8" customWidth="1"/>
    <col min="8" max="8" width="13" hidden="1" customWidth="1"/>
  </cols>
  <sheetData>
    <row r="1" spans="1:8" ht="38" customHeight="1" x14ac:dyDescent="0.2">
      <c r="A1" s="75" t="s">
        <v>193</v>
      </c>
      <c r="B1" s="62"/>
      <c r="C1" s="62"/>
      <c r="D1" s="62"/>
      <c r="E1" s="62"/>
      <c r="H1" s="54" t="s">
        <v>194</v>
      </c>
    </row>
    <row r="2" spans="1:8" ht="20" customHeight="1" x14ac:dyDescent="0.2">
      <c r="A2" s="79" t="s">
        <v>195</v>
      </c>
      <c r="B2" s="62"/>
      <c r="C2" s="62"/>
      <c r="D2" s="62"/>
      <c r="E2" s="62"/>
      <c r="H2" s="54" t="s">
        <v>196</v>
      </c>
    </row>
    <row r="3" spans="1:8" ht="4" customHeight="1" x14ac:dyDescent="0.2">
      <c r="A3" s="1"/>
      <c r="B3" s="1"/>
      <c r="C3" s="1"/>
      <c r="D3" s="1"/>
      <c r="E3" s="1"/>
      <c r="H3" s="54" t="s">
        <v>197</v>
      </c>
    </row>
    <row r="4" spans="1:8" x14ac:dyDescent="0.2">
      <c r="H4" s="54" t="s">
        <v>198</v>
      </c>
    </row>
    <row r="5" spans="1:8" x14ac:dyDescent="0.2">
      <c r="H5" s="54" t="s">
        <v>199</v>
      </c>
    </row>
    <row r="6" spans="1:8" ht="24" customHeight="1" x14ac:dyDescent="0.2">
      <c r="A6" s="55" t="s">
        <v>200</v>
      </c>
      <c r="B6" s="4" t="s">
        <v>197</v>
      </c>
      <c r="C6" s="88" t="e">
        <f>HYPERLINK("mailto:?subject="&amp;SUBSTITUTE(SUBSTITUTE("Bid request - "&amp;$B$8&amp;" - "&amp;$B$6,"&amp;","%26")," ","%20")&amp;"&amp;body="&amp;SUBSTITUTE(SUBSTITUTE("Hi,"&amp;"%0D%0A"&amp;"%0D%0A"&amp;"I am requesting a bid on the scope below for "&amp;$B$8&amp;"."&amp;"%0D%0A"&amp;"%0D%0A"&amp;"Phase: "&amp;$B$6&amp;"%0D%0A"&amp;"%0D%0A"&amp;_xlfn.TEXTJOIN("%0D%0A",TRUE,A16:A27)&amp;"%0D%0A"&amp;"%0D%0A"&amp;"Please reply with a price and the number of calendar days for each line."&amp;"%0D%0A"&amp;"%0D%0A"&amp;"Terms: a deposit at start of work with the balance on completion. Days are calendar days. Price includes labor and materials unless you note otherwise. A signed lien waiver is required with each payment."&amp;"%0D%0A"&amp;"%0D%0A"&amp;"Thank you,","&amp;","%26")," ","%20"),"✉   Email this bid request")</f>
        <v>#VALUE!</v>
      </c>
      <c r="D6" s="89"/>
      <c r="H6" s="54" t="s">
        <v>201</v>
      </c>
    </row>
    <row r="7" spans="1:8" x14ac:dyDescent="0.2">
      <c r="C7" s="74" t="s">
        <v>202</v>
      </c>
      <c r="D7" s="62"/>
      <c r="H7" s="54" t="s">
        <v>203</v>
      </c>
    </row>
    <row r="8" spans="1:8" ht="20" customHeight="1" x14ac:dyDescent="0.2">
      <c r="A8" s="56" t="s">
        <v>204</v>
      </c>
      <c r="B8" s="36" t="str">
        <f>'Your Deal'!$D$7</f>
        <v>1421 E Cloud Rd, Queen Creek AZ</v>
      </c>
      <c r="H8" s="54" t="s">
        <v>205</v>
      </c>
    </row>
    <row r="9" spans="1:8" ht="20" customHeight="1" x14ac:dyDescent="0.2">
      <c r="A9" s="56" t="s">
        <v>206</v>
      </c>
      <c r="B9" s="7"/>
      <c r="H9" s="54" t="s">
        <v>207</v>
      </c>
    </row>
    <row r="10" spans="1:8" ht="20" customHeight="1" x14ac:dyDescent="0.2">
      <c r="A10" s="56" t="s">
        <v>208</v>
      </c>
      <c r="B10" s="7"/>
    </row>
    <row r="11" spans="1:8" ht="20" customHeight="1" x14ac:dyDescent="0.2">
      <c r="A11" s="56" t="s">
        <v>209</v>
      </c>
      <c r="B11" s="7"/>
    </row>
    <row r="13" spans="1:8" ht="24" customHeight="1" x14ac:dyDescent="0.2">
      <c r="A13" s="2" t="s">
        <v>210</v>
      </c>
      <c r="B13" s="3"/>
      <c r="C13" s="3"/>
      <c r="D13" s="3"/>
      <c r="E13" s="3"/>
    </row>
    <row r="15" spans="1:8" ht="26" customHeight="1" x14ac:dyDescent="0.2">
      <c r="A15" s="6" t="s">
        <v>104</v>
      </c>
      <c r="B15" s="6" t="s">
        <v>211</v>
      </c>
      <c r="C15" s="6" t="s">
        <v>212</v>
      </c>
      <c r="D15" s="6" t="s">
        <v>107</v>
      </c>
    </row>
    <row r="16" spans="1:8" ht="22" customHeight="1" x14ac:dyDescent="0.2">
      <c r="A16" s="36" t="str">
        <f>IFERROR(INDEX('Scope &amp; Phases'!$C$8:$C$73,MATCH(LEFT($B$6,FIND(" ",$B$6&amp;" ")-1)&amp;"-"&amp;1,'Scope &amp; Phases'!$H$8:$H$73,0)),"")</f>
        <v>Framing Labor</v>
      </c>
      <c r="B16" s="7"/>
      <c r="C16" s="57"/>
      <c r="D16" s="33"/>
    </row>
    <row r="17" spans="1:5" ht="22" customHeight="1" x14ac:dyDescent="0.2">
      <c r="A17" s="36" t="str">
        <f>IFERROR(INDEX('Scope &amp; Phases'!$C$8:$C$73,MATCH(LEFT($B$6,FIND(" ",$B$6&amp;" ")-1)&amp;"-"&amp;2,'Scope &amp; Phases'!$H$8:$H$73,0)),"")</f>
        <v>Framing Material</v>
      </c>
      <c r="B17" s="7"/>
      <c r="C17" s="57"/>
      <c r="D17" s="33"/>
    </row>
    <row r="18" spans="1:5" ht="22" customHeight="1" x14ac:dyDescent="0.2">
      <c r="A18" s="36" t="str">
        <f>IFERROR(INDEX('Scope &amp; Phases'!$C$8:$C$73,MATCH(LEFT($B$6,FIND(" ",$B$6&amp;" ")-1)&amp;"-"&amp;3,'Scope &amp; Phases'!$H$8:$H$73,0)),"")</f>
        <v>Roofing</v>
      </c>
      <c r="B18" s="7"/>
      <c r="C18" s="57"/>
      <c r="D18" s="33"/>
    </row>
    <row r="19" spans="1:5" ht="22" customHeight="1" x14ac:dyDescent="0.2">
      <c r="A19" s="36" t="str">
        <f>IFERROR(INDEX('Scope &amp; Phases'!$C$8:$C$73,MATCH(LEFT($B$6,FIND(" ",$B$6&amp;" ")-1)&amp;"-"&amp;4,'Scope &amp; Phases'!$H$8:$H$73,0)),"")</f>
        <v>Windows &amp; Exterior Doors</v>
      </c>
      <c r="B19" s="7"/>
      <c r="C19" s="57"/>
      <c r="D19" s="33"/>
    </row>
    <row r="20" spans="1:5" ht="22" customHeight="1" x14ac:dyDescent="0.2">
      <c r="A20" s="36" t="str">
        <f>IFERROR(INDEX('Scope &amp; Phases'!$C$8:$C$73,MATCH(LEFT($B$6,FIND(" ",$B$6&amp;" ")-1)&amp;"-"&amp;5,'Scope &amp; Phases'!$H$8:$H$73,0)),"")</f>
        <v>Rough Plumbing</v>
      </c>
      <c r="B20" s="7"/>
      <c r="C20" s="57"/>
      <c r="D20" s="33"/>
    </row>
    <row r="21" spans="1:5" ht="22" customHeight="1" x14ac:dyDescent="0.2">
      <c r="A21" s="36" t="str">
        <f>IFERROR(INDEX('Scope &amp; Phases'!$C$8:$C$73,MATCH(LEFT($B$6,FIND(" ",$B$6&amp;" ")-1)&amp;"-"&amp;6,'Scope &amp; Phases'!$H$8:$H$73,0)),"")</f>
        <v>Rough Electrical</v>
      </c>
      <c r="B21" s="7"/>
      <c r="C21" s="57"/>
      <c r="D21" s="33"/>
    </row>
    <row r="22" spans="1:5" ht="22" customHeight="1" x14ac:dyDescent="0.2">
      <c r="A22" s="36" t="str">
        <f>IFERROR(INDEX('Scope &amp; Phases'!$C$8:$C$73,MATCH(LEFT($B$6,FIND(" ",$B$6&amp;" ")-1)&amp;"-"&amp;7,'Scope &amp; Phases'!$H$8:$H$73,0)),"")</f>
        <v>Rough HVAC</v>
      </c>
      <c r="B22" s="7"/>
      <c r="C22" s="57"/>
      <c r="D22" s="33"/>
    </row>
    <row r="23" spans="1:5" ht="22" customHeight="1" x14ac:dyDescent="0.2">
      <c r="A23" s="36" t="str">
        <f>IFERROR(INDEX('Scope &amp; Phases'!$C$8:$C$73,MATCH(LEFT($B$6,FIND(" ",$B$6&amp;" ")-1)&amp;"-"&amp;8,'Scope &amp; Phases'!$H$8:$H$73,0)),"")</f>
        <v>Rough Inspections</v>
      </c>
      <c r="B23" s="7"/>
      <c r="C23" s="57"/>
      <c r="D23" s="33"/>
    </row>
    <row r="24" spans="1:5" ht="22" customHeight="1" x14ac:dyDescent="0.2">
      <c r="A24" s="36" t="str">
        <f>IFERROR(INDEX('Scope &amp; Phases'!$C$8:$C$73,MATCH(LEFT($B$6,FIND(" ",$B$6&amp;" ")-1)&amp;"-"&amp;9,'Scope &amp; Phases'!$H$8:$H$73,0)),"")</f>
        <v/>
      </c>
      <c r="B24" s="7"/>
      <c r="C24" s="57"/>
      <c r="D24" s="33"/>
    </row>
    <row r="25" spans="1:5" ht="22" customHeight="1" x14ac:dyDescent="0.2">
      <c r="A25" s="36" t="str">
        <f>IFERROR(INDEX('Scope &amp; Phases'!$C$8:$C$73,MATCH(LEFT($B$6,FIND(" ",$B$6&amp;" ")-1)&amp;"-"&amp;10,'Scope &amp; Phases'!$H$8:$H$73,0)),"")</f>
        <v/>
      </c>
      <c r="B25" s="7"/>
      <c r="C25" s="57"/>
      <c r="D25" s="33"/>
    </row>
    <row r="26" spans="1:5" ht="22" customHeight="1" x14ac:dyDescent="0.2">
      <c r="A26" s="36" t="str">
        <f>IFERROR(INDEX('Scope &amp; Phases'!$C$8:$C$73,MATCH(LEFT($B$6,FIND(" ",$B$6&amp;" ")-1)&amp;"-"&amp;11,'Scope &amp; Phases'!$H$8:$H$73,0)),"")</f>
        <v/>
      </c>
      <c r="B26" s="7"/>
      <c r="C26" s="57"/>
      <c r="D26" s="33"/>
    </row>
    <row r="27" spans="1:5" ht="22" customHeight="1" x14ac:dyDescent="0.2">
      <c r="A27" s="36" t="str">
        <f>IFERROR(INDEX('Scope &amp; Phases'!$C$8:$C$73,MATCH(LEFT($B$6,FIND(" ",$B$6&amp;" ")-1)&amp;"-"&amp;12,'Scope &amp; Phases'!$H$8:$H$73,0)),"")</f>
        <v/>
      </c>
      <c r="B27" s="7"/>
      <c r="C27" s="57"/>
      <c r="D27" s="33"/>
    </row>
    <row r="29" spans="1:5" ht="16" x14ac:dyDescent="0.2">
      <c r="B29" s="11" t="s">
        <v>213</v>
      </c>
      <c r="C29" s="58">
        <f>SUM(C16:C27)</f>
        <v>0</v>
      </c>
      <c r="D29" s="59">
        <f>IFERROR(MAX(D16:D27),0)</f>
        <v>0</v>
      </c>
    </row>
    <row r="31" spans="1:5" ht="24" customHeight="1" x14ac:dyDescent="0.2">
      <c r="A31" s="2" t="s">
        <v>214</v>
      </c>
      <c r="B31" s="3"/>
      <c r="C31" s="3"/>
      <c r="D31" s="3"/>
      <c r="E31" s="3"/>
    </row>
    <row r="33" spans="1:5" ht="16" customHeight="1" x14ac:dyDescent="0.2">
      <c r="A33" s="83" t="s">
        <v>215</v>
      </c>
      <c r="B33" s="62"/>
      <c r="C33" s="62"/>
      <c r="D33" s="62"/>
      <c r="E33" s="62"/>
    </row>
    <row r="34" spans="1:5" ht="16" customHeight="1" x14ac:dyDescent="0.2">
      <c r="A34" s="83" t="s">
        <v>216</v>
      </c>
      <c r="B34" s="62"/>
      <c r="C34" s="62"/>
      <c r="D34" s="62"/>
      <c r="E34" s="62"/>
    </row>
    <row r="35" spans="1:5" ht="16" customHeight="1" x14ac:dyDescent="0.2">
      <c r="A35" s="83" t="s">
        <v>217</v>
      </c>
      <c r="B35" s="62"/>
      <c r="C35" s="62"/>
      <c r="D35" s="62"/>
      <c r="E35" s="62"/>
    </row>
    <row r="36" spans="1:5" ht="16" customHeight="1" x14ac:dyDescent="0.2">
      <c r="A36" s="83" t="s">
        <v>218</v>
      </c>
      <c r="B36" s="62"/>
      <c r="C36" s="62"/>
      <c r="D36" s="62"/>
      <c r="E36" s="62"/>
    </row>
    <row r="38" spans="1:5" ht="16" customHeight="1" x14ac:dyDescent="0.2">
      <c r="A38" s="80" t="s">
        <v>219</v>
      </c>
      <c r="B38" s="62"/>
      <c r="C38" s="62"/>
      <c r="D38" s="62"/>
      <c r="E38" s="62"/>
    </row>
  </sheetData>
  <mergeCells count="9">
    <mergeCell ref="A2:E2"/>
    <mergeCell ref="A33:E33"/>
    <mergeCell ref="A1:E1"/>
    <mergeCell ref="A36:E36"/>
    <mergeCell ref="A34:E34"/>
    <mergeCell ref="A35:E35"/>
    <mergeCell ref="C6:D6"/>
    <mergeCell ref="C7:D7"/>
    <mergeCell ref="A38:E38"/>
  </mergeCells>
  <conditionalFormatting sqref="A16:D27">
    <cfRule type="expression" dxfId="5" priority="1">
      <formula>$A16=""</formula>
    </cfRule>
  </conditionalFormatting>
  <dataValidations count="1">
    <dataValidation type="list" sqref="B6" xr:uid="{00000000-0002-0000-0400-000000000000}">
      <formula1>$H$1:$H$9</formula1>
    </dataValidation>
  </dataValidations>
  <pageMargins left="0.4" right="0.4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8853F"/>
    <pageSetUpPr fitToPage="1"/>
  </sheetPr>
  <dimension ref="A1:P73"/>
  <sheetViews>
    <sheetView showGridLines="0" workbookViewId="0">
      <pane xSplit="3" ySplit="7" topLeftCell="D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7" customWidth="1"/>
    <col min="4" max="4" width="18" customWidth="1"/>
    <col min="5" max="5" width="13" customWidth="1"/>
    <col min="6" max="6" width="7" customWidth="1"/>
    <col min="7" max="7" width="18" customWidth="1"/>
    <col min="8" max="8" width="13" customWidth="1"/>
    <col min="9" max="9" width="7" customWidth="1"/>
    <col min="10" max="10" width="18" customWidth="1"/>
    <col min="11" max="11" width="13" customWidth="1"/>
    <col min="12" max="13" width="7" customWidth="1"/>
    <col min="14" max="14" width="13" customWidth="1"/>
    <col min="15" max="15" width="7" customWidth="1"/>
    <col min="16" max="16" width="18" customWidth="1"/>
  </cols>
  <sheetData>
    <row r="1" spans="1:16" ht="38" customHeight="1" x14ac:dyDescent="0.2">
      <c r="A1" s="75" t="s">
        <v>220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ht="20" customHeight="1" x14ac:dyDescent="0.2">
      <c r="A2" s="79" t="s">
        <v>221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 ht="4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6" spans="1:16" ht="16" customHeight="1" x14ac:dyDescent="0.2">
      <c r="A6" s="80" t="s">
        <v>222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</row>
    <row r="7" spans="1:16" ht="26" customHeight="1" x14ac:dyDescent="0.2">
      <c r="A7" s="6" t="s">
        <v>102</v>
      </c>
      <c r="B7" s="6" t="s">
        <v>104</v>
      </c>
      <c r="C7" s="6" t="s">
        <v>105</v>
      </c>
      <c r="D7" s="6" t="s">
        <v>223</v>
      </c>
      <c r="E7" s="6" t="s">
        <v>224</v>
      </c>
      <c r="F7" s="6" t="s">
        <v>107</v>
      </c>
      <c r="G7" s="6" t="s">
        <v>225</v>
      </c>
      <c r="H7" s="6" t="s">
        <v>226</v>
      </c>
      <c r="I7" s="6" t="s">
        <v>107</v>
      </c>
      <c r="J7" s="6" t="s">
        <v>227</v>
      </c>
      <c r="K7" s="6" t="s">
        <v>228</v>
      </c>
      <c r="L7" s="6" t="s">
        <v>107</v>
      </c>
      <c r="M7" s="6" t="s">
        <v>229</v>
      </c>
      <c r="N7" s="6" t="s">
        <v>230</v>
      </c>
      <c r="O7" s="6" t="s">
        <v>107</v>
      </c>
      <c r="P7" s="6" t="s">
        <v>231</v>
      </c>
    </row>
    <row r="8" spans="1:16" ht="18" customHeight="1" x14ac:dyDescent="0.2">
      <c r="A8" s="13" t="s">
        <v>108</v>
      </c>
      <c r="B8" s="14" t="s">
        <v>110</v>
      </c>
      <c r="C8" s="25" t="str">
        <f>'Scope &amp; Phases'!D8</f>
        <v>x</v>
      </c>
      <c r="D8" s="26" t="s">
        <v>232</v>
      </c>
      <c r="E8" s="27">
        <v>1275</v>
      </c>
      <c r="F8" s="28">
        <v>12</v>
      </c>
      <c r="G8" s="26"/>
      <c r="H8" s="27"/>
      <c r="I8" s="28"/>
      <c r="J8" s="26"/>
      <c r="K8" s="27"/>
      <c r="L8" s="28"/>
      <c r="M8" s="28"/>
      <c r="N8" s="29">
        <f t="shared" ref="N8:N39" si="0">IFERROR(IF($C8&lt;&gt;"x",0,IF($M8=1,E8,IF($M8=2,H8,IF($M8=3,K8,IF(COUNT(E8,H8,K8)=0,0,MIN(IF(E8&gt;0,E8,1E+99),IF(H8&gt;0,H8,1E+99),IF(K8&gt;0,K8,1E+99))))))),0)</f>
        <v>1275</v>
      </c>
      <c r="O8" s="30">
        <f t="shared" ref="O8:O39" si="1">IFERROR(IF($C8&lt;&gt;"x",0,IF($M8=1,F8,IF($M8=2,I8,IF($M8=3,L8,IF(E8=IF(COUNT(E8,H8,K8)=0,0,MIN(IF(E8&gt;0,E8,1E+99),IF(H8&gt;0,H8,1E+99),IF(K8&gt;0,K8,1E+99))),F8,IF(H8=IF(COUNT(E8,H8,K8)=0,0,MIN(IF(E8&gt;0,E8,1E+99),IF(H8&gt;0,H8,1E+99),IF(K8&gt;0,K8,1E+99))),I8,L8)))))),0)</f>
        <v>12</v>
      </c>
      <c r="P8" s="31" t="str">
        <f t="shared" ref="P8:P39" si="2">IFERROR(IF($C8&lt;&gt;"x",0,IF($M8=1,D8,IF($M8=2,G8,IF($M8=3,J8,IF(E8=IF(COUNT(E8,H8,K8)=0,0,MIN(IF(E8&gt;0,E8,1E+99),IF(H8&gt;0,H8,1E+99),IF(K8&gt;0,K8,1E+99))),D8,IF(H8=IF(COUNT(E8,H8,K8)=0,0,MIN(IF(E8&gt;0,E8,1E+99),IF(H8&gt;0,H8,1E+99),IF(K8&gt;0,K8,1E+99))),G8,J8)))))),0)</f>
        <v>City of Queen Creek</v>
      </c>
    </row>
    <row r="9" spans="1:16" ht="18" customHeight="1" x14ac:dyDescent="0.2">
      <c r="A9" s="18" t="s">
        <v>108</v>
      </c>
      <c r="B9" s="19" t="s">
        <v>112</v>
      </c>
      <c r="C9" s="32">
        <f>'Scope &amp; Phases'!D9</f>
        <v>0</v>
      </c>
      <c r="D9" s="5"/>
      <c r="E9" s="9"/>
      <c r="F9" s="33"/>
      <c r="G9" s="5"/>
      <c r="H9" s="9"/>
      <c r="I9" s="33"/>
      <c r="J9" s="5"/>
      <c r="K9" s="9"/>
      <c r="L9" s="33"/>
      <c r="M9" s="33"/>
      <c r="N9" s="34">
        <f t="shared" si="0"/>
        <v>0</v>
      </c>
      <c r="O9" s="35">
        <f t="shared" si="1"/>
        <v>0</v>
      </c>
      <c r="P9" s="36">
        <f t="shared" si="2"/>
        <v>0</v>
      </c>
    </row>
    <row r="10" spans="1:16" ht="18" customHeight="1" x14ac:dyDescent="0.2">
      <c r="A10" s="18" t="s">
        <v>108</v>
      </c>
      <c r="B10" s="19" t="s">
        <v>113</v>
      </c>
      <c r="C10" s="32" t="str">
        <f>'Scope &amp; Phases'!D10</f>
        <v>x</v>
      </c>
      <c r="D10" s="5"/>
      <c r="E10" s="9">
        <v>750</v>
      </c>
      <c r="F10" s="33">
        <v>4</v>
      </c>
      <c r="G10" s="5"/>
      <c r="H10" s="9"/>
      <c r="I10" s="33"/>
      <c r="J10" s="5"/>
      <c r="K10" s="9"/>
      <c r="L10" s="33"/>
      <c r="M10" s="33"/>
      <c r="N10" s="34">
        <f t="shared" si="0"/>
        <v>750</v>
      </c>
      <c r="O10" s="35">
        <f t="shared" si="1"/>
        <v>4</v>
      </c>
      <c r="P10" s="36">
        <f t="shared" si="2"/>
        <v>0</v>
      </c>
    </row>
    <row r="11" spans="1:16" ht="18" customHeight="1" x14ac:dyDescent="0.2">
      <c r="A11" s="18" t="s">
        <v>108</v>
      </c>
      <c r="B11" s="19" t="s">
        <v>114</v>
      </c>
      <c r="C11" s="32">
        <f>'Scope &amp; Phases'!D11</f>
        <v>0</v>
      </c>
      <c r="D11" s="5"/>
      <c r="E11" s="9"/>
      <c r="F11" s="33"/>
      <c r="G11" s="5"/>
      <c r="H11" s="9"/>
      <c r="I11" s="33"/>
      <c r="J11" s="5"/>
      <c r="K11" s="9"/>
      <c r="L11" s="33"/>
      <c r="M11" s="33"/>
      <c r="N11" s="34">
        <f t="shared" si="0"/>
        <v>0</v>
      </c>
      <c r="O11" s="35">
        <f t="shared" si="1"/>
        <v>0</v>
      </c>
      <c r="P11" s="36">
        <f t="shared" si="2"/>
        <v>0</v>
      </c>
    </row>
    <row r="12" spans="1:16" ht="18" customHeight="1" x14ac:dyDescent="0.2">
      <c r="A12" s="18" t="s">
        <v>108</v>
      </c>
      <c r="B12" s="19" t="s">
        <v>115</v>
      </c>
      <c r="C12" s="32" t="str">
        <f>'Scope &amp; Phases'!D12</f>
        <v>x</v>
      </c>
      <c r="D12" s="5" t="s">
        <v>233</v>
      </c>
      <c r="E12" s="9">
        <v>1675</v>
      </c>
      <c r="F12" s="33">
        <v>0</v>
      </c>
      <c r="G12" s="5"/>
      <c r="H12" s="9"/>
      <c r="I12" s="33"/>
      <c r="J12" s="5"/>
      <c r="K12" s="9"/>
      <c r="L12" s="33"/>
      <c r="M12" s="33"/>
      <c r="N12" s="34">
        <f t="shared" si="0"/>
        <v>1675</v>
      </c>
      <c r="O12" s="35">
        <f t="shared" si="1"/>
        <v>0</v>
      </c>
      <c r="P12" s="36" t="str">
        <f t="shared" si="2"/>
        <v>Hartford</v>
      </c>
    </row>
    <row r="13" spans="1:16" ht="18" customHeight="1" x14ac:dyDescent="0.2">
      <c r="A13" s="18" t="s">
        <v>108</v>
      </c>
      <c r="B13" s="19" t="s">
        <v>116</v>
      </c>
      <c r="C13" s="32" t="str">
        <f>'Scope &amp; Phases'!D13</f>
        <v>x</v>
      </c>
      <c r="D13" s="5"/>
      <c r="E13" s="9">
        <v>400</v>
      </c>
      <c r="F13" s="33">
        <v>0</v>
      </c>
      <c r="G13" s="5"/>
      <c r="H13" s="9"/>
      <c r="I13" s="33"/>
      <c r="J13" s="5"/>
      <c r="K13" s="9"/>
      <c r="L13" s="33"/>
      <c r="M13" s="33"/>
      <c r="N13" s="34">
        <f t="shared" si="0"/>
        <v>400</v>
      </c>
      <c r="O13" s="35">
        <f t="shared" si="1"/>
        <v>0</v>
      </c>
      <c r="P13" s="36">
        <f t="shared" si="2"/>
        <v>0</v>
      </c>
    </row>
    <row r="14" spans="1:16" ht="18" customHeight="1" x14ac:dyDescent="0.2">
      <c r="A14" s="18" t="s">
        <v>108</v>
      </c>
      <c r="B14" s="19" t="s">
        <v>117</v>
      </c>
      <c r="C14" s="32" t="str">
        <f>'Scope &amp; Phases'!D14</f>
        <v>x</v>
      </c>
      <c r="D14" s="5"/>
      <c r="E14" s="9">
        <v>4225</v>
      </c>
      <c r="F14" s="33">
        <v>0</v>
      </c>
      <c r="G14" s="5"/>
      <c r="H14" s="9"/>
      <c r="I14" s="33"/>
      <c r="J14" s="5"/>
      <c r="K14" s="9"/>
      <c r="L14" s="33"/>
      <c r="M14" s="33"/>
      <c r="N14" s="34">
        <f t="shared" si="0"/>
        <v>4225</v>
      </c>
      <c r="O14" s="35">
        <f t="shared" si="1"/>
        <v>0</v>
      </c>
      <c r="P14" s="36">
        <f t="shared" si="2"/>
        <v>0</v>
      </c>
    </row>
    <row r="15" spans="1:16" ht="18" customHeight="1" x14ac:dyDescent="0.2">
      <c r="A15" s="18" t="s">
        <v>108</v>
      </c>
      <c r="B15" s="19" t="s">
        <v>118</v>
      </c>
      <c r="C15" s="32" t="str">
        <f>'Scope &amp; Phases'!D15</f>
        <v>x</v>
      </c>
      <c r="D15" s="5"/>
      <c r="E15" s="9">
        <v>6600</v>
      </c>
      <c r="F15" s="33">
        <v>0</v>
      </c>
      <c r="G15" s="5"/>
      <c r="H15" s="9"/>
      <c r="I15" s="33"/>
      <c r="J15" s="5"/>
      <c r="K15" s="9"/>
      <c r="L15" s="33"/>
      <c r="M15" s="33"/>
      <c r="N15" s="34">
        <f t="shared" si="0"/>
        <v>6600</v>
      </c>
      <c r="O15" s="35">
        <f t="shared" si="1"/>
        <v>0</v>
      </c>
      <c r="P15" s="36">
        <f t="shared" si="2"/>
        <v>0</v>
      </c>
    </row>
    <row r="16" spans="1:16" ht="18" customHeight="1" x14ac:dyDescent="0.2">
      <c r="A16" s="13" t="s">
        <v>119</v>
      </c>
      <c r="B16" s="14" t="s">
        <v>121</v>
      </c>
      <c r="C16" s="25" t="str">
        <f>'Scope &amp; Phases'!D16</f>
        <v>x</v>
      </c>
      <c r="D16" s="26"/>
      <c r="E16" s="27">
        <v>800</v>
      </c>
      <c r="F16" s="28">
        <v>2</v>
      </c>
      <c r="G16" s="26"/>
      <c r="H16" s="27"/>
      <c r="I16" s="28"/>
      <c r="J16" s="26"/>
      <c r="K16" s="27"/>
      <c r="L16" s="28"/>
      <c r="M16" s="28"/>
      <c r="N16" s="29">
        <f t="shared" si="0"/>
        <v>800</v>
      </c>
      <c r="O16" s="30">
        <f t="shared" si="1"/>
        <v>2</v>
      </c>
      <c r="P16" s="31">
        <f t="shared" si="2"/>
        <v>0</v>
      </c>
    </row>
    <row r="17" spans="1:16" ht="18" customHeight="1" x14ac:dyDescent="0.2">
      <c r="A17" s="18" t="s">
        <v>119</v>
      </c>
      <c r="B17" s="19" t="s">
        <v>122</v>
      </c>
      <c r="C17" s="32">
        <f>'Scope &amp; Phases'!D17</f>
        <v>0</v>
      </c>
      <c r="D17" s="5"/>
      <c r="E17" s="9"/>
      <c r="F17" s="33"/>
      <c r="G17" s="5"/>
      <c r="H17" s="9"/>
      <c r="I17" s="33"/>
      <c r="J17" s="5"/>
      <c r="K17" s="9"/>
      <c r="L17" s="33"/>
      <c r="M17" s="33"/>
      <c r="N17" s="34">
        <f t="shared" si="0"/>
        <v>0</v>
      </c>
      <c r="O17" s="35">
        <f t="shared" si="1"/>
        <v>0</v>
      </c>
      <c r="P17" s="36">
        <f t="shared" si="2"/>
        <v>0</v>
      </c>
    </row>
    <row r="18" spans="1:16" ht="18" customHeight="1" x14ac:dyDescent="0.2">
      <c r="A18" s="18" t="s">
        <v>119</v>
      </c>
      <c r="B18" s="19" t="s">
        <v>123</v>
      </c>
      <c r="C18" s="32" t="str">
        <f>'Scope &amp; Phases'!D18</f>
        <v>x</v>
      </c>
      <c r="D18" s="5" t="s">
        <v>234</v>
      </c>
      <c r="E18" s="9">
        <v>4750</v>
      </c>
      <c r="F18" s="33">
        <v>6</v>
      </c>
      <c r="G18" s="5"/>
      <c r="H18" s="9"/>
      <c r="I18" s="33"/>
      <c r="J18" s="5"/>
      <c r="K18" s="9"/>
      <c r="L18" s="33"/>
      <c r="M18" s="33"/>
      <c r="N18" s="34">
        <f t="shared" si="0"/>
        <v>4750</v>
      </c>
      <c r="O18" s="35">
        <f t="shared" si="1"/>
        <v>6</v>
      </c>
      <c r="P18" s="36" t="str">
        <f t="shared" si="2"/>
        <v>Demo Pros LLC</v>
      </c>
    </row>
    <row r="19" spans="1:16" ht="18" customHeight="1" x14ac:dyDescent="0.2">
      <c r="A19" s="18" t="s">
        <v>119</v>
      </c>
      <c r="B19" s="19" t="s">
        <v>124</v>
      </c>
      <c r="C19" s="32">
        <f>'Scope &amp; Phases'!D19</f>
        <v>0</v>
      </c>
      <c r="D19" s="5"/>
      <c r="E19" s="9"/>
      <c r="F19" s="33"/>
      <c r="G19" s="5"/>
      <c r="H19" s="9"/>
      <c r="I19" s="33"/>
      <c r="J19" s="5"/>
      <c r="K19" s="9"/>
      <c r="L19" s="33"/>
      <c r="M19" s="33"/>
      <c r="N19" s="34">
        <f t="shared" si="0"/>
        <v>0</v>
      </c>
      <c r="O19" s="35">
        <f t="shared" si="1"/>
        <v>0</v>
      </c>
      <c r="P19" s="36">
        <f t="shared" si="2"/>
        <v>0</v>
      </c>
    </row>
    <row r="20" spans="1:16" ht="18" customHeight="1" x14ac:dyDescent="0.2">
      <c r="A20" s="18" t="s">
        <v>119</v>
      </c>
      <c r="B20" s="19" t="s">
        <v>125</v>
      </c>
      <c r="C20" s="32">
        <f>'Scope &amp; Phases'!D20</f>
        <v>0</v>
      </c>
      <c r="D20" s="5"/>
      <c r="E20" s="9"/>
      <c r="F20" s="33"/>
      <c r="G20" s="5"/>
      <c r="H20" s="9"/>
      <c r="I20" s="33"/>
      <c r="J20" s="5"/>
      <c r="K20" s="9"/>
      <c r="L20" s="33"/>
      <c r="M20" s="33"/>
      <c r="N20" s="34">
        <f t="shared" si="0"/>
        <v>0</v>
      </c>
      <c r="O20" s="35">
        <f t="shared" si="1"/>
        <v>0</v>
      </c>
      <c r="P20" s="36">
        <f t="shared" si="2"/>
        <v>0</v>
      </c>
    </row>
    <row r="21" spans="1:16" ht="18" customHeight="1" x14ac:dyDescent="0.2">
      <c r="A21" s="18" t="s">
        <v>119</v>
      </c>
      <c r="B21" s="19" t="s">
        <v>126</v>
      </c>
      <c r="C21" s="32">
        <f>'Scope &amp; Phases'!D21</f>
        <v>0</v>
      </c>
      <c r="D21" s="5"/>
      <c r="E21" s="9"/>
      <c r="F21" s="33"/>
      <c r="G21" s="5"/>
      <c r="H21" s="9"/>
      <c r="I21" s="33"/>
      <c r="J21" s="5"/>
      <c r="K21" s="9"/>
      <c r="L21" s="33"/>
      <c r="M21" s="33"/>
      <c r="N21" s="34">
        <f t="shared" si="0"/>
        <v>0</v>
      </c>
      <c r="O21" s="35">
        <f t="shared" si="1"/>
        <v>0</v>
      </c>
      <c r="P21" s="36">
        <f t="shared" si="2"/>
        <v>0</v>
      </c>
    </row>
    <row r="22" spans="1:16" ht="18" customHeight="1" x14ac:dyDescent="0.2">
      <c r="A22" s="18" t="s">
        <v>119</v>
      </c>
      <c r="B22" s="19" t="s">
        <v>127</v>
      </c>
      <c r="C22" s="32">
        <f>'Scope &amp; Phases'!D22</f>
        <v>0</v>
      </c>
      <c r="D22" s="5"/>
      <c r="E22" s="9"/>
      <c r="F22" s="33"/>
      <c r="G22" s="5"/>
      <c r="H22" s="9"/>
      <c r="I22" s="33"/>
      <c r="J22" s="5"/>
      <c r="K22" s="9"/>
      <c r="L22" s="33"/>
      <c r="M22" s="33"/>
      <c r="N22" s="34">
        <f t="shared" si="0"/>
        <v>0</v>
      </c>
      <c r="O22" s="35">
        <f t="shared" si="1"/>
        <v>0</v>
      </c>
      <c r="P22" s="36">
        <f t="shared" si="2"/>
        <v>0</v>
      </c>
    </row>
    <row r="23" spans="1:16" ht="18" customHeight="1" x14ac:dyDescent="0.2">
      <c r="A23" s="18" t="s">
        <v>119</v>
      </c>
      <c r="B23" s="19" t="s">
        <v>128</v>
      </c>
      <c r="C23" s="32">
        <f>'Scope &amp; Phases'!D23</f>
        <v>0</v>
      </c>
      <c r="D23" s="5"/>
      <c r="E23" s="9"/>
      <c r="F23" s="33"/>
      <c r="G23" s="5"/>
      <c r="H23" s="9"/>
      <c r="I23" s="33"/>
      <c r="J23" s="5"/>
      <c r="K23" s="9"/>
      <c r="L23" s="33"/>
      <c r="M23" s="33"/>
      <c r="N23" s="34">
        <f t="shared" si="0"/>
        <v>0</v>
      </c>
      <c r="O23" s="35">
        <f t="shared" si="1"/>
        <v>0</v>
      </c>
      <c r="P23" s="36">
        <f t="shared" si="2"/>
        <v>0</v>
      </c>
    </row>
    <row r="24" spans="1:16" ht="18" customHeight="1" x14ac:dyDescent="0.2">
      <c r="A24" s="18" t="s">
        <v>119</v>
      </c>
      <c r="B24" s="19" t="s">
        <v>129</v>
      </c>
      <c r="C24" s="32" t="str">
        <f>'Scope &amp; Phases'!D24</f>
        <v>x</v>
      </c>
      <c r="D24" s="5"/>
      <c r="E24" s="9">
        <v>450</v>
      </c>
      <c r="F24" s="33">
        <v>1</v>
      </c>
      <c r="G24" s="5"/>
      <c r="H24" s="9"/>
      <c r="I24" s="33"/>
      <c r="J24" s="5"/>
      <c r="K24" s="9"/>
      <c r="L24" s="33"/>
      <c r="M24" s="33"/>
      <c r="N24" s="34">
        <f t="shared" si="0"/>
        <v>450</v>
      </c>
      <c r="O24" s="35">
        <f t="shared" si="1"/>
        <v>1</v>
      </c>
      <c r="P24" s="36">
        <f t="shared" si="2"/>
        <v>0</v>
      </c>
    </row>
    <row r="25" spans="1:16" ht="18" customHeight="1" x14ac:dyDescent="0.2">
      <c r="A25" s="13" t="s">
        <v>130</v>
      </c>
      <c r="B25" s="14" t="s">
        <v>132</v>
      </c>
      <c r="C25" s="25" t="str">
        <f>'Scope &amp; Phases'!D25</f>
        <v>x</v>
      </c>
      <c r="D25" s="26" t="s">
        <v>235</v>
      </c>
      <c r="E25" s="27">
        <v>3350</v>
      </c>
      <c r="F25" s="28">
        <v>6</v>
      </c>
      <c r="G25" s="26"/>
      <c r="H25" s="27"/>
      <c r="I25" s="28"/>
      <c r="J25" s="26"/>
      <c r="K25" s="27"/>
      <c r="L25" s="28"/>
      <c r="M25" s="28"/>
      <c r="N25" s="29">
        <f t="shared" si="0"/>
        <v>3350</v>
      </c>
      <c r="O25" s="30">
        <f t="shared" si="1"/>
        <v>6</v>
      </c>
      <c r="P25" s="31" t="str">
        <f t="shared" si="2"/>
        <v>Framing Done Right LLC</v>
      </c>
    </row>
    <row r="26" spans="1:16" ht="18" customHeight="1" x14ac:dyDescent="0.2">
      <c r="A26" s="18" t="s">
        <v>130</v>
      </c>
      <c r="B26" s="19" t="s">
        <v>133</v>
      </c>
      <c r="C26" s="32" t="str">
        <f>'Scope &amp; Phases'!D26</f>
        <v>x</v>
      </c>
      <c r="D26" s="5" t="s">
        <v>236</v>
      </c>
      <c r="E26" s="9">
        <v>2725</v>
      </c>
      <c r="F26" s="33">
        <v>2</v>
      </c>
      <c r="G26" s="5"/>
      <c r="H26" s="9"/>
      <c r="I26" s="33"/>
      <c r="J26" s="5"/>
      <c r="K26" s="9"/>
      <c r="L26" s="33"/>
      <c r="M26" s="33"/>
      <c r="N26" s="34">
        <f t="shared" si="0"/>
        <v>2725</v>
      </c>
      <c r="O26" s="35">
        <f t="shared" si="1"/>
        <v>2</v>
      </c>
      <c r="P26" s="36" t="str">
        <f t="shared" si="2"/>
        <v>84 Lumber</v>
      </c>
    </row>
    <row r="27" spans="1:16" ht="18" customHeight="1" x14ac:dyDescent="0.2">
      <c r="A27" s="18" t="s">
        <v>130</v>
      </c>
      <c r="B27" s="19" t="s">
        <v>134</v>
      </c>
      <c r="C27" s="32">
        <f>'Scope &amp; Phases'!D27</f>
        <v>0</v>
      </c>
      <c r="D27" s="5"/>
      <c r="E27" s="9"/>
      <c r="F27" s="33"/>
      <c r="G27" s="5"/>
      <c r="H27" s="9"/>
      <c r="I27" s="33"/>
      <c r="J27" s="5"/>
      <c r="K27" s="9"/>
      <c r="L27" s="33"/>
      <c r="M27" s="33"/>
      <c r="N27" s="34">
        <f t="shared" si="0"/>
        <v>0</v>
      </c>
      <c r="O27" s="35">
        <f t="shared" si="1"/>
        <v>0</v>
      </c>
      <c r="P27" s="36">
        <f t="shared" si="2"/>
        <v>0</v>
      </c>
    </row>
    <row r="28" spans="1:16" ht="18" customHeight="1" x14ac:dyDescent="0.2">
      <c r="A28" s="18" t="s">
        <v>130</v>
      </c>
      <c r="B28" s="19" t="s">
        <v>135</v>
      </c>
      <c r="C28" s="32" t="str">
        <f>'Scope &amp; Phases'!D28</f>
        <v>x</v>
      </c>
      <c r="D28" s="5" t="s">
        <v>237</v>
      </c>
      <c r="E28" s="9">
        <v>6950</v>
      </c>
      <c r="F28" s="33">
        <v>4</v>
      </c>
      <c r="G28" s="5" t="s">
        <v>238</v>
      </c>
      <c r="H28" s="9">
        <v>7925</v>
      </c>
      <c r="I28" s="33">
        <v>5</v>
      </c>
      <c r="J28" s="5" t="s">
        <v>239</v>
      </c>
      <c r="K28" s="9">
        <v>7375</v>
      </c>
      <c r="L28" s="33">
        <v>3</v>
      </c>
      <c r="M28" s="33"/>
      <c r="N28" s="34">
        <f t="shared" si="0"/>
        <v>6950</v>
      </c>
      <c r="O28" s="35">
        <f t="shared" si="1"/>
        <v>4</v>
      </c>
      <c r="P28" s="36" t="str">
        <f t="shared" si="2"/>
        <v>Sun Valley Roofing</v>
      </c>
    </row>
    <row r="29" spans="1:16" ht="18" customHeight="1" x14ac:dyDescent="0.2">
      <c r="A29" s="18" t="s">
        <v>130</v>
      </c>
      <c r="B29" s="19" t="s">
        <v>136</v>
      </c>
      <c r="C29" s="32" t="str">
        <f>'Scope &amp; Phases'!D29</f>
        <v>x</v>
      </c>
      <c r="D29" s="5" t="s">
        <v>240</v>
      </c>
      <c r="E29" s="9">
        <v>5450</v>
      </c>
      <c r="F29" s="33">
        <v>3</v>
      </c>
      <c r="G29" s="5"/>
      <c r="H29" s="9"/>
      <c r="I29" s="33"/>
      <c r="J29" s="5"/>
      <c r="K29" s="9"/>
      <c r="L29" s="33"/>
      <c r="M29" s="33"/>
      <c r="N29" s="34">
        <f t="shared" si="0"/>
        <v>5450</v>
      </c>
      <c r="O29" s="35">
        <f t="shared" si="1"/>
        <v>3</v>
      </c>
      <c r="P29" s="36" t="str">
        <f t="shared" si="2"/>
        <v>Arcadia Glass Co</v>
      </c>
    </row>
    <row r="30" spans="1:16" ht="18" customHeight="1" x14ac:dyDescent="0.2">
      <c r="A30" s="18" t="s">
        <v>130</v>
      </c>
      <c r="B30" s="19" t="s">
        <v>137</v>
      </c>
      <c r="C30" s="32" t="str">
        <f>'Scope &amp; Phases'!D30</f>
        <v>x</v>
      </c>
      <c r="D30" s="5" t="s">
        <v>241</v>
      </c>
      <c r="E30" s="9">
        <v>3875</v>
      </c>
      <c r="F30" s="33">
        <v>5</v>
      </c>
      <c r="G30" s="5"/>
      <c r="H30" s="9"/>
      <c r="I30" s="33"/>
      <c r="J30" s="5"/>
      <c r="K30" s="9"/>
      <c r="L30" s="33"/>
      <c r="M30" s="33"/>
      <c r="N30" s="34">
        <f t="shared" si="0"/>
        <v>3875</v>
      </c>
      <c r="O30" s="35">
        <f t="shared" si="1"/>
        <v>5</v>
      </c>
      <c r="P30" s="36" t="str">
        <f t="shared" si="2"/>
        <v>Copperline Plumbing</v>
      </c>
    </row>
    <row r="31" spans="1:16" ht="18" customHeight="1" x14ac:dyDescent="0.2">
      <c r="A31" s="18" t="s">
        <v>130</v>
      </c>
      <c r="B31" s="19" t="s">
        <v>138</v>
      </c>
      <c r="C31" s="32" t="str">
        <f>'Scope &amp; Phases'!D31</f>
        <v>x</v>
      </c>
      <c r="D31" s="5" t="s">
        <v>242</v>
      </c>
      <c r="E31" s="9">
        <v>4300</v>
      </c>
      <c r="F31" s="33">
        <v>6</v>
      </c>
      <c r="G31" s="5" t="s">
        <v>243</v>
      </c>
      <c r="H31" s="9">
        <v>4900</v>
      </c>
      <c r="I31" s="33">
        <v>7</v>
      </c>
      <c r="J31" s="5" t="s">
        <v>244</v>
      </c>
      <c r="K31" s="9">
        <v>4550</v>
      </c>
      <c r="L31" s="33">
        <v>5</v>
      </c>
      <c r="M31" s="33"/>
      <c r="N31" s="34">
        <f t="shared" si="0"/>
        <v>4300</v>
      </c>
      <c r="O31" s="35">
        <f t="shared" si="1"/>
        <v>6</v>
      </c>
      <c r="P31" s="36" t="str">
        <f t="shared" si="2"/>
        <v>Voltz Electric</v>
      </c>
    </row>
    <row r="32" spans="1:16" ht="18" customHeight="1" x14ac:dyDescent="0.2">
      <c r="A32" s="18" t="s">
        <v>130</v>
      </c>
      <c r="B32" s="19" t="s">
        <v>139</v>
      </c>
      <c r="C32" s="32" t="str">
        <f>'Scope &amp; Phases'!D32</f>
        <v>x</v>
      </c>
      <c r="D32" s="5" t="s">
        <v>245</v>
      </c>
      <c r="E32" s="9">
        <v>5975</v>
      </c>
      <c r="F32" s="33">
        <v>4</v>
      </c>
      <c r="G32" s="5"/>
      <c r="H32" s="9"/>
      <c r="I32" s="33"/>
      <c r="J32" s="5"/>
      <c r="K32" s="9"/>
      <c r="L32" s="33"/>
      <c r="M32" s="33"/>
      <c r="N32" s="34">
        <f t="shared" si="0"/>
        <v>5975</v>
      </c>
      <c r="O32" s="35">
        <f t="shared" si="1"/>
        <v>4</v>
      </c>
      <c r="P32" s="36" t="str">
        <f t="shared" si="2"/>
        <v>Sonoran Air</v>
      </c>
    </row>
    <row r="33" spans="1:16" ht="18" customHeight="1" x14ac:dyDescent="0.2">
      <c r="A33" s="18" t="s">
        <v>130</v>
      </c>
      <c r="B33" s="19" t="s">
        <v>140</v>
      </c>
      <c r="C33" s="32">
        <f>'Scope &amp; Phases'!D33</f>
        <v>0</v>
      </c>
      <c r="D33" s="5"/>
      <c r="E33" s="9"/>
      <c r="F33" s="33"/>
      <c r="G33" s="5"/>
      <c r="H33" s="9"/>
      <c r="I33" s="33"/>
      <c r="J33" s="5"/>
      <c r="K33" s="9"/>
      <c r="L33" s="33"/>
      <c r="M33" s="33"/>
      <c r="N33" s="34">
        <f t="shared" si="0"/>
        <v>0</v>
      </c>
      <c r="O33" s="35">
        <f t="shared" si="1"/>
        <v>0</v>
      </c>
      <c r="P33" s="36">
        <f t="shared" si="2"/>
        <v>0</v>
      </c>
    </row>
    <row r="34" spans="1:16" ht="18" customHeight="1" x14ac:dyDescent="0.2">
      <c r="A34" s="18" t="s">
        <v>130</v>
      </c>
      <c r="B34" s="19" t="s">
        <v>141</v>
      </c>
      <c r="C34" s="32" t="str">
        <f>'Scope &amp; Phases'!D34</f>
        <v>x</v>
      </c>
      <c r="D34" s="5"/>
      <c r="E34" s="9">
        <v>300</v>
      </c>
      <c r="F34" s="33">
        <v>3</v>
      </c>
      <c r="G34" s="5"/>
      <c r="H34" s="9"/>
      <c r="I34" s="33"/>
      <c r="J34" s="5"/>
      <c r="K34" s="9"/>
      <c r="L34" s="33"/>
      <c r="M34" s="33"/>
      <c r="N34" s="34">
        <f t="shared" si="0"/>
        <v>300</v>
      </c>
      <c r="O34" s="35">
        <f t="shared" si="1"/>
        <v>3</v>
      </c>
      <c r="P34" s="36">
        <f t="shared" si="2"/>
        <v>0</v>
      </c>
    </row>
    <row r="35" spans="1:16" ht="18" customHeight="1" x14ac:dyDescent="0.2">
      <c r="A35" s="13" t="s">
        <v>142</v>
      </c>
      <c r="B35" s="14" t="s">
        <v>144</v>
      </c>
      <c r="C35" s="25" t="str">
        <f>'Scope &amp; Phases'!D35</f>
        <v>x</v>
      </c>
      <c r="D35" s="26" t="s">
        <v>246</v>
      </c>
      <c r="E35" s="27">
        <v>1850</v>
      </c>
      <c r="F35" s="28">
        <v>2</v>
      </c>
      <c r="G35" s="26"/>
      <c r="H35" s="27"/>
      <c r="I35" s="28"/>
      <c r="J35" s="26"/>
      <c r="K35" s="27"/>
      <c r="L35" s="28"/>
      <c r="M35" s="28"/>
      <c r="N35" s="29">
        <f t="shared" si="0"/>
        <v>1850</v>
      </c>
      <c r="O35" s="30">
        <f t="shared" si="1"/>
        <v>2</v>
      </c>
      <c r="P35" s="31" t="str">
        <f t="shared" si="2"/>
        <v>Valley Insulation</v>
      </c>
    </row>
    <row r="36" spans="1:16" ht="18" customHeight="1" x14ac:dyDescent="0.2">
      <c r="A36" s="18" t="s">
        <v>142</v>
      </c>
      <c r="B36" s="19" t="s">
        <v>145</v>
      </c>
      <c r="C36" s="32" t="str">
        <f>'Scope &amp; Phases'!D36</f>
        <v>x</v>
      </c>
      <c r="D36" s="5" t="s">
        <v>247</v>
      </c>
      <c r="E36" s="9">
        <v>5625</v>
      </c>
      <c r="F36" s="33">
        <v>8</v>
      </c>
      <c r="G36" s="5" t="s">
        <v>248</v>
      </c>
      <c r="H36" s="9">
        <v>6400</v>
      </c>
      <c r="I36" s="33">
        <v>9</v>
      </c>
      <c r="J36" s="5" t="s">
        <v>249</v>
      </c>
      <c r="K36" s="9">
        <v>5950</v>
      </c>
      <c r="L36" s="33">
        <v>7</v>
      </c>
      <c r="M36" s="33"/>
      <c r="N36" s="34">
        <f t="shared" si="0"/>
        <v>5625</v>
      </c>
      <c r="O36" s="35">
        <f t="shared" si="1"/>
        <v>8</v>
      </c>
      <c r="P36" s="36" t="str">
        <f t="shared" si="2"/>
        <v>Level 5 Drywall</v>
      </c>
    </row>
    <row r="37" spans="1:16" ht="18" customHeight="1" x14ac:dyDescent="0.2">
      <c r="A37" s="18" t="s">
        <v>142</v>
      </c>
      <c r="B37" s="19" t="s">
        <v>146</v>
      </c>
      <c r="C37" s="32" t="str">
        <f>'Scope &amp; Phases'!D37</f>
        <v>x</v>
      </c>
      <c r="D37" s="5"/>
      <c r="E37" s="9">
        <v>2025</v>
      </c>
      <c r="F37" s="33">
        <v>3</v>
      </c>
      <c r="G37" s="5"/>
      <c r="H37" s="9"/>
      <c r="I37" s="33"/>
      <c r="J37" s="5"/>
      <c r="K37" s="9"/>
      <c r="L37" s="33"/>
      <c r="M37" s="33"/>
      <c r="N37" s="34">
        <f t="shared" si="0"/>
        <v>2025</v>
      </c>
      <c r="O37" s="35">
        <f t="shared" si="1"/>
        <v>3</v>
      </c>
      <c r="P37" s="36">
        <f t="shared" si="2"/>
        <v>0</v>
      </c>
    </row>
    <row r="38" spans="1:16" ht="18" customHeight="1" x14ac:dyDescent="0.2">
      <c r="A38" s="18" t="s">
        <v>142</v>
      </c>
      <c r="B38" s="19" t="s">
        <v>147</v>
      </c>
      <c r="C38" s="32" t="str">
        <f>'Scope &amp; Phases'!D38</f>
        <v>x</v>
      </c>
      <c r="D38" s="5"/>
      <c r="E38" s="9">
        <v>2550</v>
      </c>
      <c r="F38" s="33">
        <v>4</v>
      </c>
      <c r="G38" s="5"/>
      <c r="H38" s="9"/>
      <c r="I38" s="33"/>
      <c r="J38" s="5"/>
      <c r="K38" s="9"/>
      <c r="L38" s="33"/>
      <c r="M38" s="33"/>
      <c r="N38" s="34">
        <f t="shared" si="0"/>
        <v>2550</v>
      </c>
      <c r="O38" s="35">
        <f t="shared" si="1"/>
        <v>4</v>
      </c>
      <c r="P38" s="36">
        <f t="shared" si="2"/>
        <v>0</v>
      </c>
    </row>
    <row r="39" spans="1:16" ht="18" customHeight="1" x14ac:dyDescent="0.2">
      <c r="A39" s="18" t="s">
        <v>142</v>
      </c>
      <c r="B39" s="19" t="s">
        <v>148</v>
      </c>
      <c r="C39" s="32">
        <f>'Scope &amp; Phases'!D39</f>
        <v>0</v>
      </c>
      <c r="D39" s="5"/>
      <c r="E39" s="9"/>
      <c r="F39" s="33"/>
      <c r="G39" s="5"/>
      <c r="H39" s="9"/>
      <c r="I39" s="33"/>
      <c r="J39" s="5"/>
      <c r="K39" s="9"/>
      <c r="L39" s="33"/>
      <c r="M39" s="33"/>
      <c r="N39" s="34">
        <f t="shared" si="0"/>
        <v>0</v>
      </c>
      <c r="O39" s="35">
        <f t="shared" si="1"/>
        <v>0</v>
      </c>
      <c r="P39" s="36">
        <f t="shared" si="2"/>
        <v>0</v>
      </c>
    </row>
    <row r="40" spans="1:16" ht="18" customHeight="1" x14ac:dyDescent="0.2">
      <c r="A40" s="18" t="s">
        <v>142</v>
      </c>
      <c r="B40" s="19" t="s">
        <v>149</v>
      </c>
      <c r="C40" s="32" t="str">
        <f>'Scope &amp; Phases'!D40</f>
        <v>x</v>
      </c>
      <c r="D40" s="5" t="s">
        <v>250</v>
      </c>
      <c r="E40" s="9">
        <v>4050</v>
      </c>
      <c r="F40" s="33">
        <v>5</v>
      </c>
      <c r="G40" s="5"/>
      <c r="H40" s="9"/>
      <c r="I40" s="33"/>
      <c r="J40" s="5"/>
      <c r="K40" s="9"/>
      <c r="L40" s="33"/>
      <c r="M40" s="33"/>
      <c r="N40" s="34">
        <f t="shared" ref="N40:N73" si="3">IFERROR(IF($C40&lt;&gt;"x",0,IF($M40=1,E40,IF($M40=2,H40,IF($M40=3,K40,IF(COUNT(E40,H40,K40)=0,0,MIN(IF(E40&gt;0,E40,1E+99),IF(H40&gt;0,H40,1E+99),IF(K40&gt;0,K40,1E+99))))))),0)</f>
        <v>4050</v>
      </c>
      <c r="O40" s="35">
        <f t="shared" ref="O40:O73" si="4">IFERROR(IF($C40&lt;&gt;"x",0,IF($M40=1,F40,IF($M40=2,I40,IF($M40=3,L40,IF(E40=IF(COUNT(E40,H40,K40)=0,0,MIN(IF(E40&gt;0,E40,1E+99),IF(H40&gt;0,H40,1E+99),IF(K40&gt;0,K40,1E+99))),F40,IF(H40=IF(COUNT(E40,H40,K40)=0,0,MIN(IF(E40&gt;0,E40,1E+99),IF(H40&gt;0,H40,1E+99),IF(K40&gt;0,K40,1E+99))),I40,L40)))))),0)</f>
        <v>5</v>
      </c>
      <c r="P40" s="36" t="str">
        <f t="shared" ref="P40:P73" si="5">IFERROR(IF($C40&lt;&gt;"x",0,IF($M40=1,D40,IF($M40=2,G40,IF($M40=3,J40,IF(E40=IF(COUNT(E40,H40,K40)=0,0,MIN(IF(E40&gt;0,E40,1E+99),IF(H40&gt;0,H40,1E+99),IF(K40&gt;0,K40,1E+99))),D40,IF(H40=IF(COUNT(E40,H40,K40)=0,0,MIN(IF(E40&gt;0,E40,1E+99),IF(H40&gt;0,H40,1E+99),IF(K40&gt;0,K40,1E+99))),G40,J40)))))),0)</f>
        <v>Brushworks AZ</v>
      </c>
    </row>
    <row r="41" spans="1:16" ht="18" customHeight="1" x14ac:dyDescent="0.2">
      <c r="A41" s="13" t="s">
        <v>150</v>
      </c>
      <c r="B41" s="14" t="s">
        <v>152</v>
      </c>
      <c r="C41" s="25" t="str">
        <f>'Scope &amp; Phases'!D41</f>
        <v>x</v>
      </c>
      <c r="D41" s="26" t="s">
        <v>251</v>
      </c>
      <c r="E41" s="27">
        <v>6075</v>
      </c>
      <c r="F41" s="28">
        <v>4</v>
      </c>
      <c r="G41" s="26" t="s">
        <v>252</v>
      </c>
      <c r="H41" s="27">
        <v>6925</v>
      </c>
      <c r="I41" s="28">
        <v>5</v>
      </c>
      <c r="J41" s="26" t="s">
        <v>253</v>
      </c>
      <c r="K41" s="27">
        <v>6450</v>
      </c>
      <c r="L41" s="28">
        <v>3</v>
      </c>
      <c r="M41" s="28"/>
      <c r="N41" s="29">
        <f t="shared" si="3"/>
        <v>6075</v>
      </c>
      <c r="O41" s="30">
        <f t="shared" si="4"/>
        <v>4</v>
      </c>
      <c r="P41" s="31" t="str">
        <f t="shared" si="5"/>
        <v>Copper State Cabinets</v>
      </c>
    </row>
    <row r="42" spans="1:16" ht="18" customHeight="1" x14ac:dyDescent="0.2">
      <c r="A42" s="18" t="s">
        <v>150</v>
      </c>
      <c r="B42" s="19" t="s">
        <v>153</v>
      </c>
      <c r="C42" s="32" t="str">
        <f>'Scope &amp; Phases'!D42</f>
        <v>x</v>
      </c>
      <c r="D42" s="5"/>
      <c r="E42" s="9">
        <v>1625</v>
      </c>
      <c r="F42" s="33">
        <v>2</v>
      </c>
      <c r="G42" s="5"/>
      <c r="H42" s="9"/>
      <c r="I42" s="33"/>
      <c r="J42" s="5"/>
      <c r="K42" s="9"/>
      <c r="L42" s="33"/>
      <c r="M42" s="33"/>
      <c r="N42" s="34">
        <f t="shared" si="3"/>
        <v>1625</v>
      </c>
      <c r="O42" s="35">
        <f t="shared" si="4"/>
        <v>2</v>
      </c>
      <c r="P42" s="36">
        <f t="shared" si="5"/>
        <v>0</v>
      </c>
    </row>
    <row r="43" spans="1:16" ht="18" customHeight="1" x14ac:dyDescent="0.2">
      <c r="A43" s="18" t="s">
        <v>150</v>
      </c>
      <c r="B43" s="19" t="s">
        <v>154</v>
      </c>
      <c r="C43" s="32" t="str">
        <f>'Scope &amp; Phases'!D43</f>
        <v>x</v>
      </c>
      <c r="D43" s="5"/>
      <c r="E43" s="9">
        <v>675</v>
      </c>
      <c r="F43" s="33">
        <v>1</v>
      </c>
      <c r="G43" s="5"/>
      <c r="H43" s="9"/>
      <c r="I43" s="33"/>
      <c r="J43" s="5"/>
      <c r="K43" s="9"/>
      <c r="L43" s="33"/>
      <c r="M43" s="33"/>
      <c r="N43" s="34">
        <f t="shared" si="3"/>
        <v>675</v>
      </c>
      <c r="O43" s="35">
        <f t="shared" si="4"/>
        <v>1</v>
      </c>
      <c r="P43" s="36">
        <f t="shared" si="5"/>
        <v>0</v>
      </c>
    </row>
    <row r="44" spans="1:16" ht="18" customHeight="1" x14ac:dyDescent="0.2">
      <c r="A44" s="18" t="s">
        <v>150</v>
      </c>
      <c r="B44" s="19" t="s">
        <v>155</v>
      </c>
      <c r="C44" s="32">
        <f>'Scope &amp; Phases'!D44</f>
        <v>0</v>
      </c>
      <c r="D44" s="5"/>
      <c r="E44" s="9"/>
      <c r="F44" s="33"/>
      <c r="G44" s="5"/>
      <c r="H44" s="9"/>
      <c r="I44" s="33"/>
      <c r="J44" s="5"/>
      <c r="K44" s="9"/>
      <c r="L44" s="33"/>
      <c r="M44" s="33"/>
      <c r="N44" s="34">
        <f t="shared" si="3"/>
        <v>0</v>
      </c>
      <c r="O44" s="35">
        <f t="shared" si="4"/>
        <v>0</v>
      </c>
      <c r="P44" s="36">
        <f t="shared" si="5"/>
        <v>0</v>
      </c>
    </row>
    <row r="45" spans="1:16" ht="18" customHeight="1" x14ac:dyDescent="0.2">
      <c r="A45" s="18" t="s">
        <v>150</v>
      </c>
      <c r="B45" s="19" t="s">
        <v>156</v>
      </c>
      <c r="C45" s="32" t="str">
        <f>'Scope &amp; Phases'!D45</f>
        <v>x</v>
      </c>
      <c r="D45" s="5" t="s">
        <v>254</v>
      </c>
      <c r="E45" s="9">
        <v>3700</v>
      </c>
      <c r="F45" s="33">
        <v>3</v>
      </c>
      <c r="G45" s="5"/>
      <c r="H45" s="9"/>
      <c r="I45" s="33"/>
      <c r="J45" s="5"/>
      <c r="K45" s="9"/>
      <c r="L45" s="33"/>
      <c r="M45" s="33"/>
      <c r="N45" s="34">
        <f t="shared" si="3"/>
        <v>3700</v>
      </c>
      <c r="O45" s="35">
        <f t="shared" si="4"/>
        <v>3</v>
      </c>
      <c r="P45" s="36" t="str">
        <f t="shared" si="5"/>
        <v>Stone Age Surfaces</v>
      </c>
    </row>
    <row r="46" spans="1:16" ht="18" customHeight="1" x14ac:dyDescent="0.2">
      <c r="A46" s="18" t="s">
        <v>150</v>
      </c>
      <c r="B46" s="19" t="s">
        <v>157</v>
      </c>
      <c r="C46" s="32" t="str">
        <f>'Scope &amp; Phases'!D46</f>
        <v>x</v>
      </c>
      <c r="D46" s="5"/>
      <c r="E46" s="9">
        <v>550</v>
      </c>
      <c r="F46" s="33">
        <v>1</v>
      </c>
      <c r="G46" s="5"/>
      <c r="H46" s="9"/>
      <c r="I46" s="33"/>
      <c r="J46" s="5"/>
      <c r="K46" s="9"/>
      <c r="L46" s="33"/>
      <c r="M46" s="33"/>
      <c r="N46" s="34">
        <f t="shared" si="3"/>
        <v>550</v>
      </c>
      <c r="O46" s="35">
        <f t="shared" si="4"/>
        <v>1</v>
      </c>
      <c r="P46" s="36">
        <f t="shared" si="5"/>
        <v>0</v>
      </c>
    </row>
    <row r="47" spans="1:16" ht="18" customHeight="1" x14ac:dyDescent="0.2">
      <c r="A47" s="13" t="s">
        <v>158</v>
      </c>
      <c r="B47" s="14" t="s">
        <v>160</v>
      </c>
      <c r="C47" s="25" t="str">
        <f>'Scope &amp; Phases'!D47</f>
        <v>x</v>
      </c>
      <c r="D47" s="26"/>
      <c r="E47" s="27">
        <v>925</v>
      </c>
      <c r="F47" s="28">
        <v>2</v>
      </c>
      <c r="G47" s="26"/>
      <c r="H47" s="27"/>
      <c r="I47" s="28"/>
      <c r="J47" s="26"/>
      <c r="K47" s="27"/>
      <c r="L47" s="28"/>
      <c r="M47" s="28"/>
      <c r="N47" s="29">
        <f t="shared" si="3"/>
        <v>925</v>
      </c>
      <c r="O47" s="30">
        <f t="shared" si="4"/>
        <v>2</v>
      </c>
      <c r="P47" s="31">
        <f t="shared" si="5"/>
        <v>0</v>
      </c>
    </row>
    <row r="48" spans="1:16" ht="18" customHeight="1" x14ac:dyDescent="0.2">
      <c r="A48" s="18" t="s">
        <v>158</v>
      </c>
      <c r="B48" s="19" t="s">
        <v>161</v>
      </c>
      <c r="C48" s="32" t="str">
        <f>'Scope &amp; Phases'!D48</f>
        <v>x</v>
      </c>
      <c r="D48" s="5" t="s">
        <v>255</v>
      </c>
      <c r="E48" s="9">
        <v>3000</v>
      </c>
      <c r="F48" s="33">
        <v>4</v>
      </c>
      <c r="G48" s="5"/>
      <c r="H48" s="9"/>
      <c r="I48" s="33"/>
      <c r="J48" s="5"/>
      <c r="K48" s="9"/>
      <c r="L48" s="33"/>
      <c r="M48" s="33"/>
      <c r="N48" s="34">
        <f t="shared" si="3"/>
        <v>3000</v>
      </c>
      <c r="O48" s="35">
        <f t="shared" si="4"/>
        <v>4</v>
      </c>
      <c r="P48" s="36" t="str">
        <f t="shared" si="5"/>
        <v>Tile Team LLC</v>
      </c>
    </row>
    <row r="49" spans="1:16" ht="18" customHeight="1" x14ac:dyDescent="0.2">
      <c r="A49" s="18" t="s">
        <v>158</v>
      </c>
      <c r="B49" s="19" t="s">
        <v>162</v>
      </c>
      <c r="C49" s="32" t="str">
        <f>'Scope &amp; Phases'!D49</f>
        <v>x</v>
      </c>
      <c r="D49" s="5"/>
      <c r="E49" s="9">
        <v>2475</v>
      </c>
      <c r="F49" s="33">
        <v>4</v>
      </c>
      <c r="G49" s="5"/>
      <c r="H49" s="9"/>
      <c r="I49" s="33"/>
      <c r="J49" s="5"/>
      <c r="K49" s="9"/>
      <c r="L49" s="33"/>
      <c r="M49" s="33"/>
      <c r="N49" s="34">
        <f t="shared" si="3"/>
        <v>2475</v>
      </c>
      <c r="O49" s="35">
        <f t="shared" si="4"/>
        <v>4</v>
      </c>
      <c r="P49" s="36">
        <f t="shared" si="5"/>
        <v>0</v>
      </c>
    </row>
    <row r="50" spans="1:16" ht="18" customHeight="1" x14ac:dyDescent="0.2">
      <c r="A50" s="18" t="s">
        <v>158</v>
      </c>
      <c r="B50" s="19" t="s">
        <v>163</v>
      </c>
      <c r="C50" s="32" t="str">
        <f>'Scope &amp; Phases'!D50</f>
        <v>x</v>
      </c>
      <c r="D50" s="5"/>
      <c r="E50" s="9">
        <v>1000</v>
      </c>
      <c r="F50" s="33">
        <v>2</v>
      </c>
      <c r="G50" s="5"/>
      <c r="H50" s="9"/>
      <c r="I50" s="33"/>
      <c r="J50" s="5"/>
      <c r="K50" s="9"/>
      <c r="L50" s="33"/>
      <c r="M50" s="33"/>
      <c r="N50" s="34">
        <f t="shared" si="3"/>
        <v>1000</v>
      </c>
      <c r="O50" s="35">
        <f t="shared" si="4"/>
        <v>2</v>
      </c>
      <c r="P50" s="36">
        <f t="shared" si="5"/>
        <v>0</v>
      </c>
    </row>
    <row r="51" spans="1:16" ht="18" customHeight="1" x14ac:dyDescent="0.2">
      <c r="A51" s="18" t="s">
        <v>158</v>
      </c>
      <c r="B51" s="19" t="s">
        <v>164</v>
      </c>
      <c r="C51" s="32" t="str">
        <f>'Scope &amp; Phases'!D51</f>
        <v>x</v>
      </c>
      <c r="D51" s="5" t="s">
        <v>256</v>
      </c>
      <c r="E51" s="9">
        <v>5200</v>
      </c>
      <c r="F51" s="33">
        <v>4</v>
      </c>
      <c r="G51" s="5" t="s">
        <v>257</v>
      </c>
      <c r="H51" s="9">
        <v>5925</v>
      </c>
      <c r="I51" s="33">
        <v>5</v>
      </c>
      <c r="J51" s="5" t="s">
        <v>258</v>
      </c>
      <c r="K51" s="9">
        <v>5500</v>
      </c>
      <c r="L51" s="33">
        <v>3</v>
      </c>
      <c r="M51" s="33"/>
      <c r="N51" s="34">
        <f t="shared" si="3"/>
        <v>5200</v>
      </c>
      <c r="O51" s="35">
        <f t="shared" si="4"/>
        <v>4</v>
      </c>
      <c r="P51" s="36" t="str">
        <f t="shared" si="5"/>
        <v>Desert Floors</v>
      </c>
    </row>
    <row r="52" spans="1:16" ht="18" customHeight="1" x14ac:dyDescent="0.2">
      <c r="A52" s="18" t="s">
        <v>158</v>
      </c>
      <c r="B52" s="19" t="s">
        <v>165</v>
      </c>
      <c r="C52" s="32" t="str">
        <f>'Scope &amp; Phases'!D52</f>
        <v>x</v>
      </c>
      <c r="D52" s="5"/>
      <c r="E52" s="9">
        <v>450</v>
      </c>
      <c r="F52" s="33">
        <v>1</v>
      </c>
      <c r="G52" s="5"/>
      <c r="H52" s="9"/>
      <c r="I52" s="33"/>
      <c r="J52" s="5"/>
      <c r="K52" s="9"/>
      <c r="L52" s="33"/>
      <c r="M52" s="33"/>
      <c r="N52" s="34">
        <f t="shared" si="3"/>
        <v>450</v>
      </c>
      <c r="O52" s="35">
        <f t="shared" si="4"/>
        <v>1</v>
      </c>
      <c r="P52" s="36">
        <f t="shared" si="5"/>
        <v>0</v>
      </c>
    </row>
    <row r="53" spans="1:16" ht="18" customHeight="1" x14ac:dyDescent="0.2">
      <c r="A53" s="13" t="s">
        <v>13</v>
      </c>
      <c r="B53" s="14" t="s">
        <v>167</v>
      </c>
      <c r="C53" s="25" t="str">
        <f>'Scope &amp; Phases'!D53</f>
        <v>x</v>
      </c>
      <c r="D53" s="26" t="s">
        <v>259</v>
      </c>
      <c r="E53" s="27">
        <v>2900</v>
      </c>
      <c r="F53" s="28">
        <v>5</v>
      </c>
      <c r="G53" s="26"/>
      <c r="H53" s="27"/>
      <c r="I53" s="28"/>
      <c r="J53" s="26"/>
      <c r="K53" s="27"/>
      <c r="L53" s="28"/>
      <c r="M53" s="28"/>
      <c r="N53" s="29">
        <f t="shared" si="3"/>
        <v>2900</v>
      </c>
      <c r="O53" s="30">
        <f t="shared" si="4"/>
        <v>5</v>
      </c>
      <c r="P53" s="31" t="str">
        <f t="shared" si="5"/>
        <v>Adobe Stucco Co</v>
      </c>
    </row>
    <row r="54" spans="1:16" ht="18" customHeight="1" x14ac:dyDescent="0.2">
      <c r="A54" s="18" t="s">
        <v>13</v>
      </c>
      <c r="B54" s="19" t="s">
        <v>168</v>
      </c>
      <c r="C54" s="32" t="str">
        <f>'Scope &amp; Phases'!D54</f>
        <v>x</v>
      </c>
      <c r="D54" s="5"/>
      <c r="E54" s="9">
        <v>1400</v>
      </c>
      <c r="F54" s="33">
        <v>3</v>
      </c>
      <c r="G54" s="5"/>
      <c r="H54" s="9"/>
      <c r="I54" s="33"/>
      <c r="J54" s="5"/>
      <c r="K54" s="9"/>
      <c r="L54" s="33"/>
      <c r="M54" s="33"/>
      <c r="N54" s="34">
        <f t="shared" si="3"/>
        <v>1400</v>
      </c>
      <c r="O54" s="35">
        <f t="shared" si="4"/>
        <v>3</v>
      </c>
      <c r="P54" s="36">
        <f t="shared" si="5"/>
        <v>0</v>
      </c>
    </row>
    <row r="55" spans="1:16" ht="18" customHeight="1" x14ac:dyDescent="0.2">
      <c r="A55" s="18" t="s">
        <v>13</v>
      </c>
      <c r="B55" s="19" t="s">
        <v>169</v>
      </c>
      <c r="C55" s="32">
        <f>'Scope &amp; Phases'!D55</f>
        <v>0</v>
      </c>
      <c r="D55" s="5"/>
      <c r="E55" s="9"/>
      <c r="F55" s="33"/>
      <c r="G55" s="5"/>
      <c r="H55" s="9"/>
      <c r="I55" s="33"/>
      <c r="J55" s="5"/>
      <c r="K55" s="9"/>
      <c r="L55" s="33"/>
      <c r="M55" s="33"/>
      <c r="N55" s="34">
        <f t="shared" si="3"/>
        <v>0</v>
      </c>
      <c r="O55" s="35">
        <f t="shared" si="4"/>
        <v>0</v>
      </c>
      <c r="P55" s="36">
        <f t="shared" si="5"/>
        <v>0</v>
      </c>
    </row>
    <row r="56" spans="1:16" ht="18" customHeight="1" x14ac:dyDescent="0.2">
      <c r="A56" s="18" t="s">
        <v>13</v>
      </c>
      <c r="B56" s="19" t="s">
        <v>170</v>
      </c>
      <c r="C56" s="32" t="str">
        <f>'Scope &amp; Phases'!D56</f>
        <v>x</v>
      </c>
      <c r="D56" s="5"/>
      <c r="E56" s="9">
        <v>2150</v>
      </c>
      <c r="F56" s="33">
        <v>3</v>
      </c>
      <c r="G56" s="5"/>
      <c r="H56" s="9"/>
      <c r="I56" s="33"/>
      <c r="J56" s="5"/>
      <c r="K56" s="9"/>
      <c r="L56" s="33"/>
      <c r="M56" s="33"/>
      <c r="N56" s="34">
        <f t="shared" si="3"/>
        <v>2150</v>
      </c>
      <c r="O56" s="35">
        <f t="shared" si="4"/>
        <v>3</v>
      </c>
      <c r="P56" s="36">
        <f t="shared" si="5"/>
        <v>0</v>
      </c>
    </row>
    <row r="57" spans="1:16" ht="18" customHeight="1" x14ac:dyDescent="0.2">
      <c r="A57" s="18" t="s">
        <v>13</v>
      </c>
      <c r="B57" s="19" t="s">
        <v>171</v>
      </c>
      <c r="C57" s="32">
        <f>'Scope &amp; Phases'!D57</f>
        <v>0</v>
      </c>
      <c r="D57" s="5"/>
      <c r="E57" s="9"/>
      <c r="F57" s="33"/>
      <c r="G57" s="5"/>
      <c r="H57" s="9"/>
      <c r="I57" s="33"/>
      <c r="J57" s="5"/>
      <c r="K57" s="9"/>
      <c r="L57" s="33"/>
      <c r="M57" s="33"/>
      <c r="N57" s="34">
        <f t="shared" si="3"/>
        <v>0</v>
      </c>
      <c r="O57" s="35">
        <f t="shared" si="4"/>
        <v>0</v>
      </c>
      <c r="P57" s="36">
        <f t="shared" si="5"/>
        <v>0</v>
      </c>
    </row>
    <row r="58" spans="1:16" ht="18" customHeight="1" x14ac:dyDescent="0.2">
      <c r="A58" s="18" t="s">
        <v>13</v>
      </c>
      <c r="B58" s="19" t="s">
        <v>172</v>
      </c>
      <c r="C58" s="32" t="str">
        <f>'Scope &amp; Phases'!D58</f>
        <v>x</v>
      </c>
      <c r="D58" s="5" t="s">
        <v>250</v>
      </c>
      <c r="E58" s="9">
        <v>3250</v>
      </c>
      <c r="F58" s="33">
        <v>4</v>
      </c>
      <c r="G58" s="5" t="s">
        <v>260</v>
      </c>
      <c r="H58" s="9">
        <v>3700</v>
      </c>
      <c r="I58" s="33">
        <v>5</v>
      </c>
      <c r="J58" s="5" t="s">
        <v>261</v>
      </c>
      <c r="K58" s="9">
        <v>3450</v>
      </c>
      <c r="L58" s="33">
        <v>3</v>
      </c>
      <c r="M58" s="33"/>
      <c r="N58" s="34">
        <f t="shared" si="3"/>
        <v>3250</v>
      </c>
      <c r="O58" s="35">
        <f t="shared" si="4"/>
        <v>4</v>
      </c>
      <c r="P58" s="36" t="str">
        <f t="shared" si="5"/>
        <v>Brushworks AZ</v>
      </c>
    </row>
    <row r="59" spans="1:16" ht="18" customHeight="1" x14ac:dyDescent="0.2">
      <c r="A59" s="18" t="s">
        <v>13</v>
      </c>
      <c r="B59" s="19" t="s">
        <v>173</v>
      </c>
      <c r="C59" s="32" t="str">
        <f>'Scope &amp; Phases'!D59</f>
        <v>x</v>
      </c>
      <c r="D59" s="5"/>
      <c r="E59" s="9">
        <v>575</v>
      </c>
      <c r="F59" s="33">
        <v>1</v>
      </c>
      <c r="G59" s="5"/>
      <c r="H59" s="9"/>
      <c r="I59" s="33"/>
      <c r="J59" s="5"/>
      <c r="K59" s="9"/>
      <c r="L59" s="33"/>
      <c r="M59" s="33"/>
      <c r="N59" s="34">
        <f t="shared" si="3"/>
        <v>575</v>
      </c>
      <c r="O59" s="35">
        <f t="shared" si="4"/>
        <v>1</v>
      </c>
      <c r="P59" s="36">
        <f t="shared" si="5"/>
        <v>0</v>
      </c>
    </row>
    <row r="60" spans="1:16" ht="18" customHeight="1" x14ac:dyDescent="0.2">
      <c r="A60" s="18" t="s">
        <v>13</v>
      </c>
      <c r="B60" s="19" t="s">
        <v>174</v>
      </c>
      <c r="C60" s="32" t="str">
        <f>'Scope &amp; Phases'!D60</f>
        <v>x</v>
      </c>
      <c r="D60" s="5" t="s">
        <v>262</v>
      </c>
      <c r="E60" s="9">
        <v>4225</v>
      </c>
      <c r="F60" s="33">
        <v>6</v>
      </c>
      <c r="G60" s="5" t="s">
        <v>263</v>
      </c>
      <c r="H60" s="9">
        <v>4825</v>
      </c>
      <c r="I60" s="33">
        <v>7</v>
      </c>
      <c r="J60" s="5" t="s">
        <v>264</v>
      </c>
      <c r="K60" s="9">
        <v>4475</v>
      </c>
      <c r="L60" s="33">
        <v>5</v>
      </c>
      <c r="M60" s="33"/>
      <c r="N60" s="34">
        <f t="shared" si="3"/>
        <v>4225</v>
      </c>
      <c r="O60" s="35">
        <f t="shared" si="4"/>
        <v>6</v>
      </c>
      <c r="P60" s="36" t="str">
        <f t="shared" si="5"/>
        <v>Verde Landscape</v>
      </c>
    </row>
    <row r="61" spans="1:16" ht="18" customHeight="1" x14ac:dyDescent="0.2">
      <c r="A61" s="13" t="s">
        <v>175</v>
      </c>
      <c r="B61" s="14" t="s">
        <v>177</v>
      </c>
      <c r="C61" s="25" t="str">
        <f>'Scope &amp; Phases'!D61</f>
        <v>x</v>
      </c>
      <c r="D61" s="26"/>
      <c r="E61" s="27">
        <v>1750</v>
      </c>
      <c r="F61" s="28">
        <v>3</v>
      </c>
      <c r="G61" s="26"/>
      <c r="H61" s="27"/>
      <c r="I61" s="28"/>
      <c r="J61" s="26"/>
      <c r="K61" s="27"/>
      <c r="L61" s="28"/>
      <c r="M61" s="28"/>
      <c r="N61" s="29">
        <f t="shared" si="3"/>
        <v>1750</v>
      </c>
      <c r="O61" s="30">
        <f t="shared" si="4"/>
        <v>3</v>
      </c>
      <c r="P61" s="31">
        <f t="shared" si="5"/>
        <v>0</v>
      </c>
    </row>
    <row r="62" spans="1:16" ht="18" customHeight="1" x14ac:dyDescent="0.2">
      <c r="A62" s="18" t="s">
        <v>175</v>
      </c>
      <c r="B62" s="19" t="s">
        <v>178</v>
      </c>
      <c r="C62" s="32" t="str">
        <f>'Scope &amp; Phases'!D62</f>
        <v>x</v>
      </c>
      <c r="D62" s="5"/>
      <c r="E62" s="9">
        <v>1550</v>
      </c>
      <c r="F62" s="33">
        <v>3</v>
      </c>
      <c r="G62" s="5"/>
      <c r="H62" s="9"/>
      <c r="I62" s="33"/>
      <c r="J62" s="5"/>
      <c r="K62" s="9"/>
      <c r="L62" s="33"/>
      <c r="M62" s="33"/>
      <c r="N62" s="34">
        <f t="shared" si="3"/>
        <v>1550</v>
      </c>
      <c r="O62" s="35">
        <f t="shared" si="4"/>
        <v>3</v>
      </c>
      <c r="P62" s="36">
        <f t="shared" si="5"/>
        <v>0</v>
      </c>
    </row>
    <row r="63" spans="1:16" ht="18" customHeight="1" x14ac:dyDescent="0.2">
      <c r="A63" s="18" t="s">
        <v>175</v>
      </c>
      <c r="B63" s="19" t="s">
        <v>179</v>
      </c>
      <c r="C63" s="32" t="str">
        <f>'Scope &amp; Phases'!D63</f>
        <v>x</v>
      </c>
      <c r="D63" s="5"/>
      <c r="E63" s="9">
        <v>700</v>
      </c>
      <c r="F63" s="33">
        <v>2</v>
      </c>
      <c r="G63" s="5"/>
      <c r="H63" s="9"/>
      <c r="I63" s="33"/>
      <c r="J63" s="5"/>
      <c r="K63" s="9"/>
      <c r="L63" s="33"/>
      <c r="M63" s="33"/>
      <c r="N63" s="34">
        <f t="shared" si="3"/>
        <v>700</v>
      </c>
      <c r="O63" s="35">
        <f t="shared" si="4"/>
        <v>2</v>
      </c>
      <c r="P63" s="36">
        <f t="shared" si="5"/>
        <v>0</v>
      </c>
    </row>
    <row r="64" spans="1:16" ht="18" customHeight="1" x14ac:dyDescent="0.2">
      <c r="A64" s="18" t="s">
        <v>175</v>
      </c>
      <c r="B64" s="19" t="s">
        <v>180</v>
      </c>
      <c r="C64" s="32" t="str">
        <f>'Scope &amp; Phases'!D64</f>
        <v>x</v>
      </c>
      <c r="D64" s="5"/>
      <c r="E64" s="9">
        <v>1850</v>
      </c>
      <c r="F64" s="33">
        <v>2</v>
      </c>
      <c r="G64" s="5"/>
      <c r="H64" s="9"/>
      <c r="I64" s="33"/>
      <c r="J64" s="5"/>
      <c r="K64" s="9"/>
      <c r="L64" s="33"/>
      <c r="M64" s="33"/>
      <c r="N64" s="34">
        <f t="shared" si="3"/>
        <v>1850</v>
      </c>
      <c r="O64" s="35">
        <f t="shared" si="4"/>
        <v>2</v>
      </c>
      <c r="P64" s="36">
        <f t="shared" si="5"/>
        <v>0</v>
      </c>
    </row>
    <row r="65" spans="1:16" ht="18" customHeight="1" x14ac:dyDescent="0.2">
      <c r="A65" s="18" t="s">
        <v>175</v>
      </c>
      <c r="B65" s="19" t="s">
        <v>181</v>
      </c>
      <c r="C65" s="32" t="str">
        <f>'Scope &amp; Phases'!D65</f>
        <v>x</v>
      </c>
      <c r="D65" s="5"/>
      <c r="E65" s="9">
        <v>450</v>
      </c>
      <c r="F65" s="33">
        <v>1</v>
      </c>
      <c r="G65" s="5"/>
      <c r="H65" s="9"/>
      <c r="I65" s="33"/>
      <c r="J65" s="5"/>
      <c r="K65" s="9"/>
      <c r="L65" s="33"/>
      <c r="M65" s="33"/>
      <c r="N65" s="34">
        <f t="shared" si="3"/>
        <v>450</v>
      </c>
      <c r="O65" s="35">
        <f t="shared" si="4"/>
        <v>1</v>
      </c>
      <c r="P65" s="36">
        <f t="shared" si="5"/>
        <v>0</v>
      </c>
    </row>
    <row r="66" spans="1:16" ht="18" customHeight="1" x14ac:dyDescent="0.2">
      <c r="A66" s="18" t="s">
        <v>175</v>
      </c>
      <c r="B66" s="19" t="s">
        <v>182</v>
      </c>
      <c r="C66" s="32" t="str">
        <f>'Scope &amp; Phases'!D66</f>
        <v>x</v>
      </c>
      <c r="D66" s="5" t="s">
        <v>265</v>
      </c>
      <c r="E66" s="9">
        <v>4050</v>
      </c>
      <c r="F66" s="33">
        <v>1</v>
      </c>
      <c r="G66" s="5" t="s">
        <v>266</v>
      </c>
      <c r="H66" s="9">
        <v>4625</v>
      </c>
      <c r="I66" s="33">
        <v>2</v>
      </c>
      <c r="J66" s="5" t="s">
        <v>267</v>
      </c>
      <c r="K66" s="9">
        <v>4300</v>
      </c>
      <c r="L66" s="33">
        <v>1</v>
      </c>
      <c r="M66" s="33"/>
      <c r="N66" s="34">
        <f t="shared" si="3"/>
        <v>4050</v>
      </c>
      <c r="O66" s="35">
        <f t="shared" si="4"/>
        <v>1</v>
      </c>
      <c r="P66" s="36" t="str">
        <f t="shared" si="5"/>
        <v>Spencer's TV &amp; Appliance</v>
      </c>
    </row>
    <row r="67" spans="1:16" ht="18" customHeight="1" x14ac:dyDescent="0.2">
      <c r="A67" s="18" t="s">
        <v>175</v>
      </c>
      <c r="B67" s="19" t="s">
        <v>183</v>
      </c>
      <c r="C67" s="32" t="str">
        <f>'Scope &amp; Phases'!D67</f>
        <v>x</v>
      </c>
      <c r="D67" s="5"/>
      <c r="E67" s="9">
        <v>1325</v>
      </c>
      <c r="F67" s="33">
        <v>1</v>
      </c>
      <c r="G67" s="5"/>
      <c r="H67" s="9"/>
      <c r="I67" s="33"/>
      <c r="J67" s="5"/>
      <c r="K67" s="9"/>
      <c r="L67" s="33"/>
      <c r="M67" s="33"/>
      <c r="N67" s="34">
        <f t="shared" si="3"/>
        <v>1325</v>
      </c>
      <c r="O67" s="35">
        <f t="shared" si="4"/>
        <v>1</v>
      </c>
      <c r="P67" s="36">
        <f t="shared" si="5"/>
        <v>0</v>
      </c>
    </row>
    <row r="68" spans="1:16" ht="18" customHeight="1" x14ac:dyDescent="0.2">
      <c r="A68" s="18" t="s">
        <v>175</v>
      </c>
      <c r="B68" s="19" t="s">
        <v>184</v>
      </c>
      <c r="C68" s="32" t="str">
        <f>'Scope &amp; Phases'!D68</f>
        <v>x</v>
      </c>
      <c r="D68" s="5"/>
      <c r="E68" s="9">
        <v>400</v>
      </c>
      <c r="F68" s="33">
        <v>2</v>
      </c>
      <c r="G68" s="5"/>
      <c r="H68" s="9"/>
      <c r="I68" s="33"/>
      <c r="J68" s="5"/>
      <c r="K68" s="9"/>
      <c r="L68" s="33"/>
      <c r="M68" s="33"/>
      <c r="N68" s="34">
        <f t="shared" si="3"/>
        <v>400</v>
      </c>
      <c r="O68" s="35">
        <f t="shared" si="4"/>
        <v>2</v>
      </c>
      <c r="P68" s="36">
        <f t="shared" si="5"/>
        <v>0</v>
      </c>
    </row>
    <row r="69" spans="1:16" ht="18" customHeight="1" x14ac:dyDescent="0.2">
      <c r="A69" s="13" t="s">
        <v>185</v>
      </c>
      <c r="B69" s="14" t="s">
        <v>187</v>
      </c>
      <c r="C69" s="25" t="str">
        <f>'Scope &amp; Phases'!D69</f>
        <v>x</v>
      </c>
      <c r="D69" s="26"/>
      <c r="E69" s="27">
        <v>1400</v>
      </c>
      <c r="F69" s="28">
        <v>4</v>
      </c>
      <c r="G69" s="26"/>
      <c r="H69" s="27"/>
      <c r="I69" s="28"/>
      <c r="J69" s="26"/>
      <c r="K69" s="27"/>
      <c r="L69" s="28"/>
      <c r="M69" s="28"/>
      <c r="N69" s="29">
        <f t="shared" si="3"/>
        <v>1400</v>
      </c>
      <c r="O69" s="30">
        <f t="shared" si="4"/>
        <v>4</v>
      </c>
      <c r="P69" s="31">
        <f t="shared" si="5"/>
        <v>0</v>
      </c>
    </row>
    <row r="70" spans="1:16" ht="18" customHeight="1" x14ac:dyDescent="0.2">
      <c r="A70" s="18" t="s">
        <v>185</v>
      </c>
      <c r="B70" s="19" t="s">
        <v>188</v>
      </c>
      <c r="C70" s="32" t="str">
        <f>'Scope &amp; Phases'!D70</f>
        <v>x</v>
      </c>
      <c r="D70" s="5" t="s">
        <v>256</v>
      </c>
      <c r="E70" s="9">
        <v>1925</v>
      </c>
      <c r="F70" s="33">
        <v>2</v>
      </c>
      <c r="G70" s="5"/>
      <c r="H70" s="9"/>
      <c r="I70" s="33"/>
      <c r="J70" s="5"/>
      <c r="K70" s="9"/>
      <c r="L70" s="33"/>
      <c r="M70" s="33"/>
      <c r="N70" s="34">
        <f t="shared" si="3"/>
        <v>1925</v>
      </c>
      <c r="O70" s="35">
        <f t="shared" si="4"/>
        <v>2</v>
      </c>
      <c r="P70" s="36" t="str">
        <f t="shared" si="5"/>
        <v>Desert Floors</v>
      </c>
    </row>
    <row r="71" spans="1:16" ht="18" customHeight="1" x14ac:dyDescent="0.2">
      <c r="A71" s="18" t="s">
        <v>185</v>
      </c>
      <c r="B71" s="19" t="s">
        <v>189</v>
      </c>
      <c r="C71" s="32" t="str">
        <f>'Scope &amp; Phases'!D71</f>
        <v>x</v>
      </c>
      <c r="D71" s="5" t="s">
        <v>268</v>
      </c>
      <c r="E71" s="9">
        <v>625</v>
      </c>
      <c r="F71" s="33">
        <v>2</v>
      </c>
      <c r="G71" s="5"/>
      <c r="H71" s="9"/>
      <c r="I71" s="33"/>
      <c r="J71" s="5"/>
      <c r="K71" s="9"/>
      <c r="L71" s="33"/>
      <c r="M71" s="33"/>
      <c r="N71" s="34">
        <f t="shared" si="3"/>
        <v>625</v>
      </c>
      <c r="O71" s="35">
        <f t="shared" si="4"/>
        <v>2</v>
      </c>
      <c r="P71" s="36" t="str">
        <f t="shared" si="5"/>
        <v>Sparkle Crew</v>
      </c>
    </row>
    <row r="72" spans="1:16" ht="18" customHeight="1" x14ac:dyDescent="0.2">
      <c r="A72" s="18" t="s">
        <v>185</v>
      </c>
      <c r="B72" s="19" t="s">
        <v>190</v>
      </c>
      <c r="C72" s="32" t="str">
        <f>'Scope &amp; Phases'!D72</f>
        <v>x</v>
      </c>
      <c r="D72" s="5" t="s">
        <v>269</v>
      </c>
      <c r="E72" s="9">
        <v>2200</v>
      </c>
      <c r="F72" s="33">
        <v>2</v>
      </c>
      <c r="G72" s="5"/>
      <c r="H72" s="9"/>
      <c r="I72" s="33"/>
      <c r="J72" s="5"/>
      <c r="K72" s="9"/>
      <c r="L72" s="33"/>
      <c r="M72" s="33"/>
      <c r="N72" s="34">
        <f t="shared" si="3"/>
        <v>2200</v>
      </c>
      <c r="O72" s="35">
        <f t="shared" si="4"/>
        <v>2</v>
      </c>
      <c r="P72" s="36" t="str">
        <f t="shared" si="5"/>
        <v>Staged AZ</v>
      </c>
    </row>
    <row r="73" spans="1:16" ht="18" customHeight="1" x14ac:dyDescent="0.2">
      <c r="A73" s="18" t="s">
        <v>185</v>
      </c>
      <c r="B73" s="19" t="s">
        <v>191</v>
      </c>
      <c r="C73" s="32" t="str">
        <f>'Scope &amp; Phases'!D73</f>
        <v>x</v>
      </c>
      <c r="D73" s="5"/>
      <c r="E73" s="9">
        <v>975</v>
      </c>
      <c r="F73" s="33">
        <v>0</v>
      </c>
      <c r="G73" s="5"/>
      <c r="H73" s="9"/>
      <c r="I73" s="33"/>
      <c r="J73" s="5"/>
      <c r="K73" s="9"/>
      <c r="L73" s="33"/>
      <c r="M73" s="33"/>
      <c r="N73" s="34">
        <f t="shared" si="3"/>
        <v>975</v>
      </c>
      <c r="O73" s="35">
        <f t="shared" si="4"/>
        <v>0</v>
      </c>
      <c r="P73" s="36">
        <f t="shared" si="5"/>
        <v>0</v>
      </c>
    </row>
  </sheetData>
  <mergeCells count="3">
    <mergeCell ref="A6:P6"/>
    <mergeCell ref="A1:P1"/>
    <mergeCell ref="A2:P2"/>
  </mergeCells>
  <conditionalFormatting sqref="A8:P73">
    <cfRule type="expression" dxfId="4" priority="1">
      <formula>$C8&lt;&gt;"x"</formula>
    </cfRule>
  </conditionalFormatting>
  <conditionalFormatting sqref="D8:F73">
    <cfRule type="expression" dxfId="3" priority="2">
      <formula>AND($C8="x",COUNT($E8,$H8,$K8)=0)</formula>
    </cfRule>
  </conditionalFormatting>
  <pageMargins left="0.4" right="0.4" top="0.5" bottom="0.5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853F"/>
    <pageSetUpPr fitToPage="1"/>
  </sheetPr>
  <dimension ref="A1:H24"/>
  <sheetViews>
    <sheetView showGridLines="0" workbookViewId="0">
      <pane ySplit="11" topLeftCell="A1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9" customWidth="1"/>
    <col min="4" max="4" width="16" customWidth="1"/>
    <col min="5" max="5" width="9" customWidth="1"/>
    <col min="6" max="7" width="15" customWidth="1"/>
    <col min="8" max="8" width="12" customWidth="1"/>
  </cols>
  <sheetData>
    <row r="1" spans="1:8" ht="38" customHeight="1" x14ac:dyDescent="0.2">
      <c r="A1" s="75" t="s">
        <v>270</v>
      </c>
      <c r="B1" s="62"/>
      <c r="C1" s="62"/>
      <c r="D1" s="62"/>
      <c r="E1" s="62"/>
      <c r="F1" s="62"/>
      <c r="G1" s="62"/>
      <c r="H1" s="62"/>
    </row>
    <row r="2" spans="1:8" ht="20" customHeight="1" x14ac:dyDescent="0.2">
      <c r="A2" s="79" t="s">
        <v>271</v>
      </c>
      <c r="B2" s="62"/>
      <c r="C2" s="62"/>
      <c r="D2" s="62"/>
      <c r="E2" s="62"/>
      <c r="F2" s="62"/>
      <c r="G2" s="62"/>
      <c r="H2" s="62"/>
    </row>
    <row r="3" spans="1:8" ht="4" customHeight="1" x14ac:dyDescent="0.2">
      <c r="A3" s="1"/>
      <c r="B3" s="1"/>
      <c r="C3" s="1"/>
      <c r="D3" s="1"/>
      <c r="E3" s="1"/>
      <c r="F3" s="1"/>
      <c r="G3" s="1"/>
      <c r="H3" s="1"/>
    </row>
    <row r="5" spans="1:8" ht="26" customHeight="1" x14ac:dyDescent="0.2">
      <c r="A5" s="85" t="s">
        <v>272</v>
      </c>
      <c r="B5" s="62"/>
      <c r="C5" s="62"/>
      <c r="D5" s="87">
        <f>SUMIF('Scope &amp; Phases'!$D$8:$D$73,"x",'Scope &amp; Phases'!$E$8:$E$73)</f>
        <v>129325</v>
      </c>
      <c r="E5" s="70"/>
      <c r="F5" s="71"/>
    </row>
    <row r="6" spans="1:8" ht="22" customHeight="1" x14ac:dyDescent="0.2">
      <c r="A6" s="73" t="s">
        <v>23</v>
      </c>
      <c r="B6" s="62"/>
      <c r="C6" s="62"/>
      <c r="D6" s="92">
        <f>IFERROR('Budget &amp; Schedule'!$D$5/'Your Deal'!$D$9,0)</f>
        <v>69.52956989247312</v>
      </c>
      <c r="E6" s="70"/>
      <c r="F6" s="71"/>
    </row>
    <row r="7" spans="1:8" ht="22" customHeight="1" x14ac:dyDescent="0.2">
      <c r="A7" s="73" t="s">
        <v>273</v>
      </c>
      <c r="B7" s="62"/>
      <c r="C7" s="62"/>
      <c r="D7" s="91">
        <f>IFERROR(MAX(G12:G25)-'Your Deal'!$D$31+1,0)</f>
        <v>155</v>
      </c>
      <c r="E7" s="70"/>
      <c r="F7" s="71"/>
    </row>
    <row r="8" spans="1:8" ht="22" customHeight="1" x14ac:dyDescent="0.2">
      <c r="A8" s="73" t="s">
        <v>274</v>
      </c>
      <c r="B8" s="62"/>
      <c r="C8" s="62"/>
      <c r="D8" s="90">
        <f>IFERROR('Budget &amp; Schedule'!$D$7/30.44,0)</f>
        <v>5.0919842312746386</v>
      </c>
      <c r="E8" s="70"/>
      <c r="F8" s="71"/>
    </row>
    <row r="11" spans="1:8" ht="26" customHeight="1" x14ac:dyDescent="0.2">
      <c r="A11" s="6" t="s">
        <v>102</v>
      </c>
      <c r="B11" s="6" t="s">
        <v>103</v>
      </c>
      <c r="C11" s="6" t="s">
        <v>275</v>
      </c>
      <c r="D11" s="6" t="s">
        <v>106</v>
      </c>
      <c r="E11" s="6" t="s">
        <v>107</v>
      </c>
      <c r="F11" s="6" t="s">
        <v>276</v>
      </c>
      <c r="G11" s="6" t="s">
        <v>277</v>
      </c>
    </row>
    <row r="12" spans="1:8" ht="20" customHeight="1" x14ac:dyDescent="0.2">
      <c r="A12" s="18" t="s">
        <v>108</v>
      </c>
      <c r="B12" s="19" t="s">
        <v>109</v>
      </c>
      <c r="C12" s="32">
        <f>COUNTIFS('Scope &amp; Phases'!$A$8:$A$73,"A",'Scope &amp; Phases'!$D$8:$D$73,"x")</f>
        <v>6</v>
      </c>
      <c r="D12" s="21">
        <f>SUMIFS('Scope &amp; Phases'!$E$8:$E$73,'Scope &amp; Phases'!$A$8:$A$73,"A",'Scope &amp; Phases'!$D$8:$D$73,"x")</f>
        <v>14925</v>
      </c>
      <c r="E12" s="35">
        <f>IFERROR(SUMIFS('Scope &amp; Phases'!$F$8:$F$73,'Scope &amp; Phases'!$A$8:$A$73,"A",'Scope &amp; Phases'!$D$8:$D$73,"x"),0)</f>
        <v>16</v>
      </c>
      <c r="F12" s="37">
        <f>'Your Deal'!$D$31</f>
        <v>46314</v>
      </c>
      <c r="G12" s="37">
        <f t="shared" ref="G12:G20" si="0">IF(E12=0,F12-1,F12+E12-1)</f>
        <v>46329</v>
      </c>
    </row>
    <row r="13" spans="1:8" ht="20" customHeight="1" x14ac:dyDescent="0.2">
      <c r="A13" s="18" t="s">
        <v>119</v>
      </c>
      <c r="B13" s="19" t="s">
        <v>120</v>
      </c>
      <c r="C13" s="32">
        <f>COUNTIFS('Scope &amp; Phases'!$A$8:$A$73,"1",'Scope &amp; Phases'!$D$8:$D$73,"x")</f>
        <v>3</v>
      </c>
      <c r="D13" s="21">
        <f>SUMIFS('Scope &amp; Phases'!$E$8:$E$73,'Scope &amp; Phases'!$A$8:$A$73,"1",'Scope &amp; Phases'!$D$8:$D$73,"x")</f>
        <v>6000</v>
      </c>
      <c r="E13" s="35">
        <f>IFERROR(SUMIFS('Scope &amp; Phases'!$F$8:$F$73,'Scope &amp; Phases'!$A$8:$A$73,"1",'Scope &amp; Phases'!$D$8:$D$73,"x"),0)</f>
        <v>9</v>
      </c>
      <c r="F13" s="37">
        <f t="shared" ref="F13:F20" si="1">G12+1</f>
        <v>46330</v>
      </c>
      <c r="G13" s="37">
        <f t="shared" si="0"/>
        <v>46338</v>
      </c>
    </row>
    <row r="14" spans="1:8" ht="20" customHeight="1" x14ac:dyDescent="0.2">
      <c r="A14" s="18" t="s">
        <v>130</v>
      </c>
      <c r="B14" s="19" t="s">
        <v>131</v>
      </c>
      <c r="C14" s="32">
        <f>COUNTIFS('Scope &amp; Phases'!$A$8:$A$73,"2",'Scope &amp; Phases'!$D$8:$D$73,"x")</f>
        <v>8</v>
      </c>
      <c r="D14" s="21">
        <f>SUMIFS('Scope &amp; Phases'!$E$8:$E$73,'Scope &amp; Phases'!$A$8:$A$73,"2",'Scope &amp; Phases'!$D$8:$D$73,"x")</f>
        <v>32925</v>
      </c>
      <c r="E14" s="35">
        <f>IFERROR(SUMIFS('Scope &amp; Phases'!$F$8:$F$73,'Scope &amp; Phases'!$A$8:$A$73,"2",'Scope &amp; Phases'!$D$8:$D$73,"x"),0)</f>
        <v>33</v>
      </c>
      <c r="F14" s="37">
        <f t="shared" si="1"/>
        <v>46339</v>
      </c>
      <c r="G14" s="37">
        <f t="shared" si="0"/>
        <v>46371</v>
      </c>
    </row>
    <row r="15" spans="1:8" ht="20" customHeight="1" x14ac:dyDescent="0.2">
      <c r="A15" s="18" t="s">
        <v>142</v>
      </c>
      <c r="B15" s="19" t="s">
        <v>143</v>
      </c>
      <c r="C15" s="32">
        <f>COUNTIFS('Scope &amp; Phases'!$A$8:$A$73,"3",'Scope &amp; Phases'!$D$8:$D$73,"x")</f>
        <v>5</v>
      </c>
      <c r="D15" s="21">
        <f>SUMIFS('Scope &amp; Phases'!$E$8:$E$73,'Scope &amp; Phases'!$A$8:$A$73,"3",'Scope &amp; Phases'!$D$8:$D$73,"x")</f>
        <v>16100</v>
      </c>
      <c r="E15" s="35">
        <f>IFERROR(SUMIFS('Scope &amp; Phases'!$F$8:$F$73,'Scope &amp; Phases'!$A$8:$A$73,"3",'Scope &amp; Phases'!$D$8:$D$73,"x"),0)</f>
        <v>22</v>
      </c>
      <c r="F15" s="37">
        <f t="shared" si="1"/>
        <v>46372</v>
      </c>
      <c r="G15" s="37">
        <f t="shared" si="0"/>
        <v>46393</v>
      </c>
    </row>
    <row r="16" spans="1:8" ht="20" customHeight="1" x14ac:dyDescent="0.2">
      <c r="A16" s="18" t="s">
        <v>150</v>
      </c>
      <c r="B16" s="19" t="s">
        <v>151</v>
      </c>
      <c r="C16" s="32">
        <f>COUNTIFS('Scope &amp; Phases'!$A$8:$A$73,"4",'Scope &amp; Phases'!$D$8:$D$73,"x")</f>
        <v>5</v>
      </c>
      <c r="D16" s="21">
        <f>SUMIFS('Scope &amp; Phases'!$E$8:$E$73,'Scope &amp; Phases'!$A$8:$A$73,"4",'Scope &amp; Phases'!$D$8:$D$73,"x")</f>
        <v>12625</v>
      </c>
      <c r="E16" s="35">
        <f>IFERROR(SUMIFS('Scope &amp; Phases'!$F$8:$F$73,'Scope &amp; Phases'!$A$8:$A$73,"4",'Scope &amp; Phases'!$D$8:$D$73,"x"),0)</f>
        <v>11</v>
      </c>
      <c r="F16" s="37">
        <f t="shared" si="1"/>
        <v>46394</v>
      </c>
      <c r="G16" s="37">
        <f t="shared" si="0"/>
        <v>46404</v>
      </c>
    </row>
    <row r="17" spans="1:8" ht="20" customHeight="1" x14ac:dyDescent="0.2">
      <c r="A17" s="18" t="s">
        <v>158</v>
      </c>
      <c r="B17" s="19" t="s">
        <v>159</v>
      </c>
      <c r="C17" s="32">
        <f>COUNTIFS('Scope &amp; Phases'!$A$8:$A$73,"5",'Scope &amp; Phases'!$D$8:$D$73,"x")</f>
        <v>6</v>
      </c>
      <c r="D17" s="21">
        <f>SUMIFS('Scope &amp; Phases'!$E$8:$E$73,'Scope &amp; Phases'!$A$8:$A$73,"5",'Scope &amp; Phases'!$D$8:$D$73,"x")</f>
        <v>13050</v>
      </c>
      <c r="E17" s="35">
        <f>IFERROR(SUMIFS('Scope &amp; Phases'!$F$8:$F$73,'Scope &amp; Phases'!$A$8:$A$73,"5",'Scope &amp; Phases'!$D$8:$D$73,"x"),0)</f>
        <v>17</v>
      </c>
      <c r="F17" s="37">
        <f t="shared" si="1"/>
        <v>46405</v>
      </c>
      <c r="G17" s="37">
        <f t="shared" si="0"/>
        <v>46421</v>
      </c>
    </row>
    <row r="18" spans="1:8" ht="20" customHeight="1" x14ac:dyDescent="0.2">
      <c r="A18" s="18" t="s">
        <v>13</v>
      </c>
      <c r="B18" s="19" t="s">
        <v>166</v>
      </c>
      <c r="C18" s="32">
        <f>COUNTIFS('Scope &amp; Phases'!$A$8:$A$73,"6",'Scope &amp; Phases'!$D$8:$D$73,"x")</f>
        <v>6</v>
      </c>
      <c r="D18" s="21">
        <f>SUMIFS('Scope &amp; Phases'!$E$8:$E$73,'Scope &amp; Phases'!$A$8:$A$73,"6",'Scope &amp; Phases'!$D$8:$D$73,"x")</f>
        <v>14500</v>
      </c>
      <c r="E18" s="35">
        <f>IFERROR(SUMIFS('Scope &amp; Phases'!$F$8:$F$73,'Scope &amp; Phases'!$A$8:$A$73,"6",'Scope &amp; Phases'!$D$8:$D$73,"x"),0)</f>
        <v>22</v>
      </c>
      <c r="F18" s="37">
        <f t="shared" si="1"/>
        <v>46422</v>
      </c>
      <c r="G18" s="37">
        <f t="shared" si="0"/>
        <v>46443</v>
      </c>
    </row>
    <row r="19" spans="1:8" ht="20" customHeight="1" x14ac:dyDescent="0.2">
      <c r="A19" s="18" t="s">
        <v>175</v>
      </c>
      <c r="B19" s="19" t="s">
        <v>176</v>
      </c>
      <c r="C19" s="32">
        <f>COUNTIFS('Scope &amp; Phases'!$A$8:$A$73,"7",'Scope &amp; Phases'!$D$8:$D$73,"x")</f>
        <v>8</v>
      </c>
      <c r="D19" s="21">
        <f>SUMIFS('Scope &amp; Phases'!$E$8:$E$73,'Scope &amp; Phases'!$A$8:$A$73,"7",'Scope &amp; Phases'!$D$8:$D$73,"x")</f>
        <v>12075</v>
      </c>
      <c r="E19" s="35">
        <f>IFERROR(SUMIFS('Scope &amp; Phases'!$F$8:$F$73,'Scope &amp; Phases'!$A$8:$A$73,"7",'Scope &amp; Phases'!$D$8:$D$73,"x"),0)</f>
        <v>15</v>
      </c>
      <c r="F19" s="37">
        <f t="shared" si="1"/>
        <v>46444</v>
      </c>
      <c r="G19" s="37">
        <f t="shared" si="0"/>
        <v>46458</v>
      </c>
    </row>
    <row r="20" spans="1:8" ht="20" customHeight="1" x14ac:dyDescent="0.2">
      <c r="A20" s="18" t="s">
        <v>185</v>
      </c>
      <c r="B20" s="19" t="s">
        <v>186</v>
      </c>
      <c r="C20" s="32">
        <f>COUNTIFS('Scope &amp; Phases'!$A$8:$A$73,"8",'Scope &amp; Phases'!$D$8:$D$73,"x")</f>
        <v>5</v>
      </c>
      <c r="D20" s="21">
        <f>SUMIFS('Scope &amp; Phases'!$E$8:$E$73,'Scope &amp; Phases'!$A$8:$A$73,"8",'Scope &amp; Phases'!$D$8:$D$73,"x")</f>
        <v>7125</v>
      </c>
      <c r="E20" s="35">
        <f>IFERROR(SUMIFS('Scope &amp; Phases'!$F$8:$F$73,'Scope &amp; Phases'!$A$8:$A$73,"8",'Scope &amp; Phases'!$D$8:$D$73,"x"),0)</f>
        <v>10</v>
      </c>
      <c r="F20" s="37">
        <f t="shared" si="1"/>
        <v>46459</v>
      </c>
      <c r="G20" s="37">
        <f t="shared" si="0"/>
        <v>46468</v>
      </c>
    </row>
    <row r="21" spans="1:8" ht="16" x14ac:dyDescent="0.2">
      <c r="B21" s="38" t="s">
        <v>278</v>
      </c>
      <c r="C21" s="39">
        <f>COUNTIF('Scope &amp; Phases'!$D$8:$D$73,"x")</f>
        <v>52</v>
      </c>
      <c r="D21" s="40">
        <f>SUM(D12:D20)</f>
        <v>129325</v>
      </c>
      <c r="E21" s="41"/>
      <c r="F21" s="41"/>
      <c r="G21" s="42">
        <f>MAX(G12:G20)</f>
        <v>46468</v>
      </c>
    </row>
    <row r="23" spans="1:8" ht="16" customHeight="1" x14ac:dyDescent="0.2">
      <c r="A23" s="80" t="s">
        <v>279</v>
      </c>
      <c r="B23" s="62"/>
      <c r="C23" s="62"/>
      <c r="D23" s="62"/>
      <c r="E23" s="62"/>
      <c r="F23" s="62"/>
      <c r="G23" s="62"/>
      <c r="H23" s="62"/>
    </row>
    <row r="24" spans="1:8" ht="16" customHeight="1" x14ac:dyDescent="0.2">
      <c r="A24" s="80" t="s">
        <v>280</v>
      </c>
      <c r="B24" s="62"/>
      <c r="C24" s="62"/>
      <c r="D24" s="62"/>
      <c r="E24" s="62"/>
      <c r="F24" s="62"/>
      <c r="G24" s="62"/>
      <c r="H24" s="62"/>
    </row>
  </sheetData>
  <mergeCells count="12">
    <mergeCell ref="A2:H2"/>
    <mergeCell ref="A8:C8"/>
    <mergeCell ref="A6:C6"/>
    <mergeCell ref="A1:H1"/>
    <mergeCell ref="D7:F7"/>
    <mergeCell ref="A7:C7"/>
    <mergeCell ref="D6:F6"/>
    <mergeCell ref="A23:H23"/>
    <mergeCell ref="D5:F5"/>
    <mergeCell ref="A5:C5"/>
    <mergeCell ref="D8:F8"/>
    <mergeCell ref="A24:H24"/>
  </mergeCells>
  <pageMargins left="0.4" right="0.4" top="0.5" bottom="0.5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8853F"/>
    <pageSetUpPr fitToPage="1"/>
  </sheetPr>
  <dimension ref="A1:G20"/>
  <sheetViews>
    <sheetView showGridLines="0"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15" customWidth="1"/>
    <col min="4" max="5" width="14" customWidth="1"/>
    <col min="6" max="7" width="15" customWidth="1"/>
  </cols>
  <sheetData>
    <row r="1" spans="1:7" ht="38" customHeight="1" x14ac:dyDescent="0.2">
      <c r="A1" s="75" t="s">
        <v>281</v>
      </c>
      <c r="B1" s="62"/>
      <c r="C1" s="62"/>
      <c r="D1" s="62"/>
      <c r="E1" s="62"/>
      <c r="F1" s="62"/>
      <c r="G1" s="62"/>
    </row>
    <row r="2" spans="1:7" ht="20" customHeight="1" x14ac:dyDescent="0.2">
      <c r="A2" s="79" t="s">
        <v>282</v>
      </c>
      <c r="B2" s="62"/>
      <c r="C2" s="62"/>
      <c r="D2" s="62"/>
      <c r="E2" s="62"/>
      <c r="F2" s="62"/>
      <c r="G2" s="62"/>
    </row>
    <row r="3" spans="1:7" ht="4" customHeight="1" x14ac:dyDescent="0.2">
      <c r="A3" s="1"/>
      <c r="B3" s="1"/>
      <c r="C3" s="1"/>
      <c r="D3" s="1"/>
      <c r="E3" s="1"/>
      <c r="F3" s="1"/>
      <c r="G3" s="1"/>
    </row>
    <row r="6" spans="1:7" ht="16" customHeight="1" x14ac:dyDescent="0.2">
      <c r="A6" s="80" t="s">
        <v>283</v>
      </c>
      <c r="B6" s="62"/>
      <c r="C6" s="62"/>
      <c r="D6" s="62"/>
      <c r="E6" s="62"/>
      <c r="F6" s="62"/>
      <c r="G6" s="62"/>
    </row>
    <row r="8" spans="1:7" ht="26" customHeight="1" x14ac:dyDescent="0.2">
      <c r="A8" s="6" t="s">
        <v>284</v>
      </c>
      <c r="B8" s="6" t="s">
        <v>103</v>
      </c>
      <c r="C8" s="6" t="s">
        <v>285</v>
      </c>
      <c r="D8" s="6" t="s">
        <v>286</v>
      </c>
      <c r="E8" s="6" t="s">
        <v>287</v>
      </c>
      <c r="F8" s="6" t="s">
        <v>288</v>
      </c>
      <c r="G8" s="6" t="s">
        <v>289</v>
      </c>
    </row>
    <row r="9" spans="1:7" ht="20" customHeight="1" x14ac:dyDescent="0.2">
      <c r="A9" s="32">
        <v>1</v>
      </c>
      <c r="B9" s="36" t="str">
        <f>'Budget &amp; Schedule'!B12</f>
        <v>Pre-Construction &amp; General Conditions</v>
      </c>
      <c r="C9" s="21">
        <f>'Budget &amp; Schedule'!D12</f>
        <v>14925</v>
      </c>
      <c r="D9" s="21">
        <f>-C9*'Your Deal'!$D$35</f>
        <v>-1492.5</v>
      </c>
      <c r="E9" s="43">
        <f t="shared" ref="E9:E17" si="0">C9+D9</f>
        <v>13432.5</v>
      </c>
      <c r="F9" s="37">
        <f>'Budget &amp; Schedule'!G12</f>
        <v>46329</v>
      </c>
      <c r="G9" s="37">
        <f>IF(C9=0,"",F9+'Your Deal'!$D$24)</f>
        <v>46339</v>
      </c>
    </row>
    <row r="10" spans="1:7" ht="20" customHeight="1" x14ac:dyDescent="0.2">
      <c r="A10" s="32">
        <v>2</v>
      </c>
      <c r="B10" s="36" t="str">
        <f>'Budget &amp; Schedule'!B13</f>
        <v>Demolition, Foundation &amp; Underground</v>
      </c>
      <c r="C10" s="21">
        <f>'Budget &amp; Schedule'!D13</f>
        <v>6000</v>
      </c>
      <c r="D10" s="21">
        <f>-C10*'Your Deal'!$D$35</f>
        <v>-600</v>
      </c>
      <c r="E10" s="43">
        <f t="shared" si="0"/>
        <v>5400</v>
      </c>
      <c r="F10" s="37">
        <f>'Budget &amp; Schedule'!G13</f>
        <v>46338</v>
      </c>
      <c r="G10" s="37">
        <f>IF(C10=0,"",F10+'Your Deal'!$D$24)</f>
        <v>46348</v>
      </c>
    </row>
    <row r="11" spans="1:7" ht="20" customHeight="1" x14ac:dyDescent="0.2">
      <c r="A11" s="32">
        <v>3</v>
      </c>
      <c r="B11" s="36" t="str">
        <f>'Budget &amp; Schedule'!B14</f>
        <v>Framing, Roofing &amp; Rough MEP</v>
      </c>
      <c r="C11" s="21">
        <f>'Budget &amp; Schedule'!D14</f>
        <v>32925</v>
      </c>
      <c r="D11" s="21">
        <f>-C11*'Your Deal'!$D$35</f>
        <v>-3292.5</v>
      </c>
      <c r="E11" s="43">
        <f t="shared" si="0"/>
        <v>29632.5</v>
      </c>
      <c r="F11" s="37">
        <f>'Budget &amp; Schedule'!G14</f>
        <v>46371</v>
      </c>
      <c r="G11" s="37">
        <f>IF(C11=0,"",F11+'Your Deal'!$D$24)</f>
        <v>46381</v>
      </c>
    </row>
    <row r="12" spans="1:7" ht="20" customHeight="1" x14ac:dyDescent="0.2">
      <c r="A12" s="32">
        <v>4</v>
      </c>
      <c r="B12" s="36" t="str">
        <f>'Budget &amp; Schedule'!B15</f>
        <v>Insulation, Drywall, Doors, Trim &amp; Paint</v>
      </c>
      <c r="C12" s="21">
        <f>'Budget &amp; Schedule'!D15</f>
        <v>16100</v>
      </c>
      <c r="D12" s="21">
        <f>-C12*'Your Deal'!$D$35</f>
        <v>-1610</v>
      </c>
      <c r="E12" s="43">
        <f t="shared" si="0"/>
        <v>14490</v>
      </c>
      <c r="F12" s="37">
        <f>'Budget &amp; Schedule'!G15</f>
        <v>46393</v>
      </c>
      <c r="G12" s="37">
        <f>IF(C12=0,"",F12+'Your Deal'!$D$24)</f>
        <v>46403</v>
      </c>
    </row>
    <row r="13" spans="1:7" ht="20" customHeight="1" x14ac:dyDescent="0.2">
      <c r="A13" s="32">
        <v>5</v>
      </c>
      <c r="B13" s="36" t="str">
        <f>'Budget &amp; Schedule'!B16</f>
        <v>Cabinets &amp; Countertops</v>
      </c>
      <c r="C13" s="21">
        <f>'Budget &amp; Schedule'!D16</f>
        <v>12625</v>
      </c>
      <c r="D13" s="21">
        <f>-C13*'Your Deal'!$D$35</f>
        <v>-1262.5</v>
      </c>
      <c r="E13" s="43">
        <f t="shared" si="0"/>
        <v>11362.5</v>
      </c>
      <c r="F13" s="37">
        <f>'Budget &amp; Schedule'!G16</f>
        <v>46404</v>
      </c>
      <c r="G13" s="37">
        <f>IF(C13=0,"",F13+'Your Deal'!$D$24)</f>
        <v>46414</v>
      </c>
    </row>
    <row r="14" spans="1:7" ht="20" customHeight="1" x14ac:dyDescent="0.2">
      <c r="A14" s="32">
        <v>6</v>
      </c>
      <c r="B14" s="36" t="str">
        <f>'Budget &amp; Schedule'!B17</f>
        <v>Tile &amp; Flooring</v>
      </c>
      <c r="C14" s="21">
        <f>'Budget &amp; Schedule'!D17</f>
        <v>13050</v>
      </c>
      <c r="D14" s="21">
        <f>-C14*'Your Deal'!$D$35</f>
        <v>-1305</v>
      </c>
      <c r="E14" s="43">
        <f t="shared" si="0"/>
        <v>11745</v>
      </c>
      <c r="F14" s="37">
        <f>'Budget &amp; Schedule'!G17</f>
        <v>46421</v>
      </c>
      <c r="G14" s="37">
        <f>IF(C14=0,"",F14+'Your Deal'!$D$24)</f>
        <v>46431</v>
      </c>
    </row>
    <row r="15" spans="1:7" ht="20" customHeight="1" x14ac:dyDescent="0.2">
      <c r="A15" s="32">
        <v>7</v>
      </c>
      <c r="B15" s="36" t="str">
        <f>'Budget &amp; Schedule'!B18</f>
        <v>Exterior &amp; Landscaping</v>
      </c>
      <c r="C15" s="21">
        <f>'Budget &amp; Schedule'!D18</f>
        <v>14500</v>
      </c>
      <c r="D15" s="21">
        <f>-C15*'Your Deal'!$D$35</f>
        <v>-1450</v>
      </c>
      <c r="E15" s="43">
        <f t="shared" si="0"/>
        <v>13050</v>
      </c>
      <c r="F15" s="37">
        <f>'Budget &amp; Schedule'!G18</f>
        <v>46443</v>
      </c>
      <c r="G15" s="37">
        <f>IF(C15=0,"",F15+'Your Deal'!$D$24)</f>
        <v>46453</v>
      </c>
    </row>
    <row r="16" spans="1:7" ht="20" customHeight="1" x14ac:dyDescent="0.2">
      <c r="A16" s="32">
        <v>8</v>
      </c>
      <c r="B16" s="36" t="str">
        <f>'Budget &amp; Schedule'!B19</f>
        <v>MEP Finishes, Glass &amp; Appliances</v>
      </c>
      <c r="C16" s="21">
        <f>'Budget &amp; Schedule'!D19</f>
        <v>12075</v>
      </c>
      <c r="D16" s="21">
        <f>-C16*'Your Deal'!$D$35</f>
        <v>-1207.5</v>
      </c>
      <c r="E16" s="43">
        <f t="shared" si="0"/>
        <v>10867.5</v>
      </c>
      <c r="F16" s="37">
        <f>'Budget &amp; Schedule'!G19</f>
        <v>46458</v>
      </c>
      <c r="G16" s="37">
        <f>IF(C16=0,"",F16+'Your Deal'!$D$24)</f>
        <v>46468</v>
      </c>
    </row>
    <row r="17" spans="1:7" ht="20" customHeight="1" x14ac:dyDescent="0.2">
      <c r="A17" s="32">
        <v>9</v>
      </c>
      <c r="B17" s="36" t="str">
        <f>'Budget &amp; Schedule'!B20</f>
        <v>Punch, Carpet &amp; Final Clean</v>
      </c>
      <c r="C17" s="21">
        <f>'Budget &amp; Schedule'!D20</f>
        <v>7125</v>
      </c>
      <c r="D17" s="21">
        <f>-C17*'Your Deal'!$D$35</f>
        <v>-712.5</v>
      </c>
      <c r="E17" s="43">
        <f t="shared" si="0"/>
        <v>6412.5</v>
      </c>
      <c r="F17" s="37">
        <f>'Budget &amp; Schedule'!G20</f>
        <v>46468</v>
      </c>
      <c r="G17" s="37">
        <f>IF(C17=0,"",F17+'Your Deal'!$D$24)</f>
        <v>46478</v>
      </c>
    </row>
    <row r="18" spans="1:7" x14ac:dyDescent="0.2">
      <c r="B18" s="11" t="s">
        <v>278</v>
      </c>
      <c r="C18" s="44">
        <f>SUM(C9:C17)</f>
        <v>129325</v>
      </c>
      <c r="D18" s="44">
        <f>SUM(D9:D17)</f>
        <v>-12932.5</v>
      </c>
      <c r="E18" s="44">
        <f>SUM(E9:E17)</f>
        <v>116392.5</v>
      </c>
    </row>
    <row r="20" spans="1:7" ht="16" customHeight="1" x14ac:dyDescent="0.2">
      <c r="A20" s="80" t="s">
        <v>290</v>
      </c>
      <c r="B20" s="62"/>
      <c r="C20" s="62"/>
      <c r="D20" s="62"/>
      <c r="E20" s="62"/>
      <c r="F20" s="62"/>
      <c r="G20" s="62"/>
    </row>
  </sheetData>
  <mergeCells count="4">
    <mergeCell ref="A20:G20"/>
    <mergeCell ref="A6:G6"/>
    <mergeCell ref="A2:G2"/>
    <mergeCell ref="A1:G1"/>
  </mergeCells>
  <pageMargins left="0.4" right="0.4" top="0.5" bottom="0.5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8853F"/>
    <pageSetUpPr fitToPage="1"/>
  </sheetPr>
  <dimension ref="A1:H23"/>
  <sheetViews>
    <sheetView showGridLines="0" workbookViewId="0">
      <pane ySplit="9" topLeftCell="A10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4" customWidth="1"/>
    <col min="3" max="6" width="14" customWidth="1"/>
    <col min="7" max="8" width="16" customWidth="1"/>
  </cols>
  <sheetData>
    <row r="1" spans="1:8" ht="38" customHeight="1" x14ac:dyDescent="0.2">
      <c r="A1" s="75" t="s">
        <v>291</v>
      </c>
      <c r="B1" s="62"/>
      <c r="C1" s="62"/>
      <c r="D1" s="62"/>
      <c r="E1" s="62"/>
      <c r="F1" s="62"/>
      <c r="G1" s="62"/>
      <c r="H1" s="62"/>
    </row>
    <row r="2" spans="1:8" ht="20" customHeight="1" x14ac:dyDescent="0.2">
      <c r="A2" s="79" t="s">
        <v>292</v>
      </c>
      <c r="B2" s="62"/>
      <c r="C2" s="62"/>
      <c r="D2" s="62"/>
      <c r="E2" s="62"/>
      <c r="F2" s="62"/>
      <c r="G2" s="62"/>
      <c r="H2" s="62"/>
    </row>
    <row r="3" spans="1:8" ht="4" customHeight="1" x14ac:dyDescent="0.2">
      <c r="A3" s="1"/>
      <c r="B3" s="1"/>
      <c r="C3" s="1"/>
      <c r="D3" s="1"/>
      <c r="E3" s="1"/>
      <c r="F3" s="1"/>
      <c r="G3" s="1"/>
      <c r="H3" s="1"/>
    </row>
    <row r="6" spans="1:8" ht="16" customHeight="1" x14ac:dyDescent="0.2">
      <c r="A6" s="80" t="s">
        <v>293</v>
      </c>
      <c r="B6" s="62"/>
      <c r="C6" s="62"/>
      <c r="D6" s="62"/>
      <c r="E6" s="62"/>
      <c r="F6" s="62"/>
      <c r="G6" s="62"/>
      <c r="H6" s="62"/>
    </row>
    <row r="9" spans="1:8" ht="26" customHeight="1" x14ac:dyDescent="0.2">
      <c r="A9" s="6" t="s">
        <v>102</v>
      </c>
      <c r="B9" s="6" t="s">
        <v>103</v>
      </c>
      <c r="C9" s="6" t="s">
        <v>294</v>
      </c>
      <c r="D9" s="6" t="s">
        <v>295</v>
      </c>
      <c r="E9" s="6" t="s">
        <v>296</v>
      </c>
      <c r="F9" s="6" t="s">
        <v>297</v>
      </c>
      <c r="G9" s="6" t="s">
        <v>298</v>
      </c>
    </row>
    <row r="10" spans="1:8" ht="20" customHeight="1" x14ac:dyDescent="0.2">
      <c r="A10" s="32" t="s">
        <v>108</v>
      </c>
      <c r="B10" s="36" t="str">
        <f>'Budget &amp; Schedule'!B12</f>
        <v>Pre-Construction &amp; General Conditions</v>
      </c>
      <c r="C10" s="21">
        <f>-'Budget &amp; Schedule'!D12*'Your Deal'!$D$33</f>
        <v>-7462.5</v>
      </c>
      <c r="D10" s="21">
        <f>-'Budget &amp; Schedule'!D12*(1-'Your Deal'!$D$33)</f>
        <v>-7462.5</v>
      </c>
      <c r="E10" s="21">
        <f>'Draw Schedule'!E9</f>
        <v>13432.5</v>
      </c>
      <c r="F10" s="37">
        <f>'Budget &amp; Schedule'!G12</f>
        <v>46329</v>
      </c>
      <c r="G10" s="21">
        <f>'Your Deal'!$D$26+SUMIF($F$10:$F$18,"&lt;="&amp;$F10,$C$10:$C$18)+SUMIF($F$10:$F$18,"&lt;="&amp;$F10,$D$10:$D$18)+SUMIF('Draw Schedule'!$G$9:$G$17,"&lt;="&amp;$F10,'Draw Schedule'!$E$9:$E$17)</f>
        <v>45075</v>
      </c>
    </row>
    <row r="11" spans="1:8" ht="20" customHeight="1" x14ac:dyDescent="0.2">
      <c r="A11" s="32" t="s">
        <v>119</v>
      </c>
      <c r="B11" s="36" t="str">
        <f>'Budget &amp; Schedule'!B13</f>
        <v>Demolition, Foundation &amp; Underground</v>
      </c>
      <c r="C11" s="21">
        <f>-'Budget &amp; Schedule'!D13*'Your Deal'!$D$33</f>
        <v>-3000</v>
      </c>
      <c r="D11" s="21">
        <f>-'Budget &amp; Schedule'!D13*(1-'Your Deal'!$D$33)</f>
        <v>-3000</v>
      </c>
      <c r="E11" s="21">
        <f>'Draw Schedule'!E10</f>
        <v>5400</v>
      </c>
      <c r="F11" s="37">
        <f>'Budget &amp; Schedule'!G13</f>
        <v>46338</v>
      </c>
      <c r="G11" s="21">
        <f>'Your Deal'!$D$26+SUMIF($F$10:$F$18,"&lt;="&amp;$F11,$C$10:$C$18)+SUMIF($F$10:$F$18,"&lt;="&amp;$F11,$D$10:$D$18)+SUMIF('Draw Schedule'!$G$9:$G$17,"&lt;="&amp;$F11,'Draw Schedule'!$E$9:$E$17)</f>
        <v>39075</v>
      </c>
    </row>
    <row r="12" spans="1:8" ht="20" customHeight="1" x14ac:dyDescent="0.2">
      <c r="A12" s="32" t="s">
        <v>130</v>
      </c>
      <c r="B12" s="36" t="str">
        <f>'Budget &amp; Schedule'!B14</f>
        <v>Framing, Roofing &amp; Rough MEP</v>
      </c>
      <c r="C12" s="21">
        <f>-'Budget &amp; Schedule'!D14*'Your Deal'!$D$33</f>
        <v>-16462.5</v>
      </c>
      <c r="D12" s="21">
        <f>-'Budget &amp; Schedule'!D14*(1-'Your Deal'!$D$33)</f>
        <v>-16462.5</v>
      </c>
      <c r="E12" s="21">
        <f>'Draw Schedule'!E11</f>
        <v>29632.5</v>
      </c>
      <c r="F12" s="37">
        <f>'Budget &amp; Schedule'!G14</f>
        <v>46371</v>
      </c>
      <c r="G12" s="21">
        <f>'Your Deal'!$D$26+SUMIF($F$10:$F$18,"&lt;="&amp;$F12,$C$10:$C$18)+SUMIF($F$10:$F$18,"&lt;="&amp;$F12,$D$10:$D$18)+SUMIF('Draw Schedule'!$G$9:$G$17,"&lt;="&amp;$F12,'Draw Schedule'!$E$9:$E$17)</f>
        <v>24982.5</v>
      </c>
    </row>
    <row r="13" spans="1:8" ht="20" customHeight="1" x14ac:dyDescent="0.2">
      <c r="A13" s="32" t="s">
        <v>142</v>
      </c>
      <c r="B13" s="36" t="str">
        <f>'Budget &amp; Schedule'!B15</f>
        <v>Insulation, Drywall, Doors, Trim &amp; Paint</v>
      </c>
      <c r="C13" s="21">
        <f>-'Budget &amp; Schedule'!D15*'Your Deal'!$D$33</f>
        <v>-8050</v>
      </c>
      <c r="D13" s="21">
        <f>-'Budget &amp; Schedule'!D15*(1-'Your Deal'!$D$33)</f>
        <v>-8050</v>
      </c>
      <c r="E13" s="21">
        <f>'Draw Schedule'!E12</f>
        <v>14490</v>
      </c>
      <c r="F13" s="37">
        <f>'Budget &amp; Schedule'!G15</f>
        <v>46393</v>
      </c>
      <c r="G13" s="21">
        <f>'Your Deal'!$D$26+SUMIF($F$10:$F$18,"&lt;="&amp;$F13,$C$10:$C$18)+SUMIF($F$10:$F$18,"&lt;="&amp;$F13,$D$10:$D$18)+SUMIF('Draw Schedule'!$G$9:$G$17,"&lt;="&amp;$F13,'Draw Schedule'!$E$9:$E$17)</f>
        <v>38515</v>
      </c>
    </row>
    <row r="14" spans="1:8" ht="20" customHeight="1" x14ac:dyDescent="0.2">
      <c r="A14" s="32" t="s">
        <v>150</v>
      </c>
      <c r="B14" s="36" t="str">
        <f>'Budget &amp; Schedule'!B16</f>
        <v>Cabinets &amp; Countertops</v>
      </c>
      <c r="C14" s="21">
        <f>-'Budget &amp; Schedule'!D16*'Your Deal'!$D$33</f>
        <v>-6312.5</v>
      </c>
      <c r="D14" s="21">
        <f>-'Budget &amp; Schedule'!D16*(1-'Your Deal'!$D$33)</f>
        <v>-6312.5</v>
      </c>
      <c r="E14" s="21">
        <f>'Draw Schedule'!E13</f>
        <v>11362.5</v>
      </c>
      <c r="F14" s="37">
        <f>'Budget &amp; Schedule'!G16</f>
        <v>46404</v>
      </c>
      <c r="G14" s="21">
        <f>'Your Deal'!$D$26+SUMIF($F$10:$F$18,"&lt;="&amp;$F14,$C$10:$C$18)+SUMIF($F$10:$F$18,"&lt;="&amp;$F14,$D$10:$D$18)+SUMIF('Draw Schedule'!$G$9:$G$17,"&lt;="&amp;$F14,'Draw Schedule'!$E$9:$E$17)</f>
        <v>40380</v>
      </c>
    </row>
    <row r="15" spans="1:8" ht="20" customHeight="1" x14ac:dyDescent="0.2">
      <c r="A15" s="32" t="s">
        <v>158</v>
      </c>
      <c r="B15" s="36" t="str">
        <f>'Budget &amp; Schedule'!B17</f>
        <v>Tile &amp; Flooring</v>
      </c>
      <c r="C15" s="21">
        <f>-'Budget &amp; Schedule'!D17*'Your Deal'!$D$33</f>
        <v>-6525</v>
      </c>
      <c r="D15" s="21">
        <f>-'Budget &amp; Schedule'!D17*(1-'Your Deal'!$D$33)</f>
        <v>-6525</v>
      </c>
      <c r="E15" s="21">
        <f>'Draw Schedule'!E14</f>
        <v>11745</v>
      </c>
      <c r="F15" s="37">
        <f>'Budget &amp; Schedule'!G17</f>
        <v>46421</v>
      </c>
      <c r="G15" s="21">
        <f>'Your Deal'!$D$26+SUMIF($F$10:$F$18,"&lt;="&amp;$F15,$C$10:$C$18)+SUMIF($F$10:$F$18,"&lt;="&amp;$F15,$D$10:$D$18)+SUMIF('Draw Schedule'!$G$9:$G$17,"&lt;="&amp;$F15,'Draw Schedule'!$E$9:$E$17)</f>
        <v>38692.5</v>
      </c>
    </row>
    <row r="16" spans="1:8" ht="20" customHeight="1" x14ac:dyDescent="0.2">
      <c r="A16" s="32" t="s">
        <v>13</v>
      </c>
      <c r="B16" s="36" t="str">
        <f>'Budget &amp; Schedule'!B18</f>
        <v>Exterior &amp; Landscaping</v>
      </c>
      <c r="C16" s="21">
        <f>-'Budget &amp; Schedule'!D18*'Your Deal'!$D$33</f>
        <v>-7250</v>
      </c>
      <c r="D16" s="21">
        <f>-'Budget &amp; Schedule'!D18*(1-'Your Deal'!$D$33)</f>
        <v>-7250</v>
      </c>
      <c r="E16" s="21">
        <f>'Draw Schedule'!E15</f>
        <v>13050</v>
      </c>
      <c r="F16" s="37">
        <f>'Budget &amp; Schedule'!G18</f>
        <v>46443</v>
      </c>
      <c r="G16" s="21">
        <f>'Your Deal'!$D$26+SUMIF($F$10:$F$18,"&lt;="&amp;$F16,$C$10:$C$18)+SUMIF($F$10:$F$18,"&lt;="&amp;$F16,$D$10:$D$18)+SUMIF('Draw Schedule'!$G$9:$G$17,"&lt;="&amp;$F16,'Draw Schedule'!$E$9:$E$17)</f>
        <v>35937.5</v>
      </c>
    </row>
    <row r="17" spans="1:8" ht="20" customHeight="1" x14ac:dyDescent="0.2">
      <c r="A17" s="32" t="s">
        <v>175</v>
      </c>
      <c r="B17" s="36" t="str">
        <f>'Budget &amp; Schedule'!B19</f>
        <v>MEP Finishes, Glass &amp; Appliances</v>
      </c>
      <c r="C17" s="21">
        <f>-'Budget &amp; Schedule'!D19*'Your Deal'!$D$33</f>
        <v>-6037.5</v>
      </c>
      <c r="D17" s="21">
        <f>-'Budget &amp; Schedule'!D19*(1-'Your Deal'!$D$33)</f>
        <v>-6037.5</v>
      </c>
      <c r="E17" s="21">
        <f>'Draw Schedule'!E16</f>
        <v>10867.5</v>
      </c>
      <c r="F17" s="37">
        <f>'Budget &amp; Schedule'!G19</f>
        <v>46458</v>
      </c>
      <c r="G17" s="21">
        <f>'Your Deal'!$D$26+SUMIF($F$10:$F$18,"&lt;="&amp;$F17,$C$10:$C$18)+SUMIF($F$10:$F$18,"&lt;="&amp;$F17,$D$10:$D$18)+SUMIF('Draw Schedule'!$G$9:$G$17,"&lt;="&amp;$F17,'Draw Schedule'!$E$9:$E$17)</f>
        <v>36912.5</v>
      </c>
    </row>
    <row r="18" spans="1:8" ht="20" customHeight="1" x14ac:dyDescent="0.2">
      <c r="A18" s="32" t="s">
        <v>185</v>
      </c>
      <c r="B18" s="36" t="str">
        <f>'Budget &amp; Schedule'!B20</f>
        <v>Punch, Carpet &amp; Final Clean</v>
      </c>
      <c r="C18" s="21">
        <f>-'Budget &amp; Schedule'!D20*'Your Deal'!$D$33</f>
        <v>-3562.5</v>
      </c>
      <c r="D18" s="21">
        <f>-'Budget &amp; Schedule'!D20*(1-'Your Deal'!$D$33)</f>
        <v>-3562.5</v>
      </c>
      <c r="E18" s="21">
        <f>'Draw Schedule'!E17</f>
        <v>6412.5</v>
      </c>
      <c r="F18" s="37">
        <f>'Budget &amp; Schedule'!G20</f>
        <v>46468</v>
      </c>
      <c r="G18" s="21">
        <f>'Your Deal'!$D$26+SUMIF($F$10:$F$18,"&lt;="&amp;$F18,$C$10:$C$18)+SUMIF($F$10:$F$18,"&lt;="&amp;$F18,$D$10:$D$18)+SUMIF('Draw Schedule'!$G$9:$G$17,"&lt;="&amp;$F18,'Draw Schedule'!$E$9:$E$17)</f>
        <v>40655</v>
      </c>
    </row>
    <row r="20" spans="1:8" ht="22" customHeight="1" x14ac:dyDescent="0.2">
      <c r="B20" s="73" t="s">
        <v>299</v>
      </c>
      <c r="C20" s="62"/>
      <c r="D20" s="62"/>
      <c r="E20" s="62"/>
      <c r="F20" s="86">
        <f>MIN(G10:G18)</f>
        <v>24982.5</v>
      </c>
      <c r="G20" s="71"/>
    </row>
    <row r="21" spans="1:8" ht="26" customHeight="1" x14ac:dyDescent="0.2">
      <c r="B21" s="85" t="s">
        <v>300</v>
      </c>
      <c r="C21" s="62"/>
      <c r="D21" s="62"/>
      <c r="E21" s="62"/>
      <c r="F21" s="87">
        <f>IF($F$20&gt;=0,0,-$F$20)</f>
        <v>0</v>
      </c>
      <c r="G21" s="71"/>
    </row>
    <row r="23" spans="1:8" ht="16" customHeight="1" x14ac:dyDescent="0.2">
      <c r="A23" s="80" t="s">
        <v>301</v>
      </c>
      <c r="B23" s="62"/>
      <c r="C23" s="62"/>
      <c r="D23" s="62"/>
      <c r="E23" s="62"/>
      <c r="F23" s="62"/>
      <c r="G23" s="62"/>
      <c r="H23" s="62"/>
    </row>
  </sheetData>
  <mergeCells count="8">
    <mergeCell ref="A23:H23"/>
    <mergeCell ref="A6:H6"/>
    <mergeCell ref="A1:H1"/>
    <mergeCell ref="F21:G21"/>
    <mergeCell ref="A2:H2"/>
    <mergeCell ref="F20:G20"/>
    <mergeCell ref="B21:E21"/>
    <mergeCell ref="B20:E20"/>
  </mergeCells>
  <conditionalFormatting sqref="F21:G21">
    <cfRule type="cellIs" dxfId="2" priority="2" operator="greaterThan">
      <formula>0</formula>
    </cfRule>
  </conditionalFormatting>
  <conditionalFormatting sqref="G10:G18">
    <cfRule type="cellIs" dxfId="1" priority="1" operator="lessThan">
      <formula>0</formula>
    </cfRule>
  </conditionalFormatting>
  <pageMargins left="0.4" right="0.4" top="0.5" bottom="0.5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2A39"/>
    <pageSetUpPr fitToPage="1"/>
  </sheetPr>
  <dimension ref="A1:F77"/>
  <sheetViews>
    <sheetView showGridLines="0"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32" customWidth="1"/>
    <col min="4" max="4" width="8" customWidth="1"/>
    <col min="5" max="5" width="14" customWidth="1"/>
    <col min="6" max="6" width="9" customWidth="1"/>
  </cols>
  <sheetData>
    <row r="1" spans="1:6" ht="38" customHeight="1" x14ac:dyDescent="0.2">
      <c r="A1" s="75" t="s">
        <v>302</v>
      </c>
      <c r="B1" s="62"/>
      <c r="C1" s="62"/>
      <c r="D1" s="62"/>
      <c r="E1" s="62"/>
      <c r="F1" s="62"/>
    </row>
    <row r="2" spans="1:6" ht="20" customHeight="1" x14ac:dyDescent="0.2">
      <c r="A2" s="79" t="s">
        <v>303</v>
      </c>
      <c r="B2" s="62"/>
      <c r="C2" s="62"/>
      <c r="D2" s="62"/>
      <c r="E2" s="62"/>
      <c r="F2" s="62"/>
    </row>
    <row r="3" spans="1:6" ht="4" customHeight="1" x14ac:dyDescent="0.2">
      <c r="A3" s="1"/>
      <c r="B3" s="1"/>
      <c r="C3" s="1"/>
      <c r="D3" s="1"/>
      <c r="E3" s="1"/>
      <c r="F3" s="1"/>
    </row>
    <row r="6" spans="1:6" ht="16" customHeight="1" x14ac:dyDescent="0.2">
      <c r="A6" s="80" t="s">
        <v>304</v>
      </c>
      <c r="B6" s="62"/>
      <c r="C6" s="62"/>
      <c r="D6" s="62"/>
      <c r="E6" s="62"/>
      <c r="F6" s="62"/>
    </row>
    <row r="8" spans="1:6" ht="26" customHeight="1" x14ac:dyDescent="0.2">
      <c r="A8" s="6" t="s">
        <v>102</v>
      </c>
      <c r="B8" s="6" t="s">
        <v>103</v>
      </c>
      <c r="C8" s="6" t="s">
        <v>104</v>
      </c>
      <c r="D8" s="6" t="s">
        <v>105</v>
      </c>
      <c r="E8" s="6" t="s">
        <v>106</v>
      </c>
      <c r="F8" s="6" t="s">
        <v>107</v>
      </c>
    </row>
    <row r="9" spans="1:6" ht="18" customHeight="1" x14ac:dyDescent="0.2">
      <c r="A9" s="32" t="str">
        <f>'Scope &amp; Phases'!A8</f>
        <v>A</v>
      </c>
      <c r="B9" s="36" t="str">
        <f>'Scope &amp; Phases'!B8</f>
        <v>Pre-Construction &amp; General Conditions</v>
      </c>
      <c r="C9" s="36" t="str">
        <f>'Scope &amp; Phases'!C8</f>
        <v>Permits &amp; Plan Review</v>
      </c>
      <c r="D9" s="32" t="str">
        <f>'Scope &amp; Phases'!D8</f>
        <v>x</v>
      </c>
      <c r="E9" s="60">
        <f>'Scope &amp; Phases'!E8</f>
        <v>1275</v>
      </c>
      <c r="F9" s="35">
        <f>'Scope &amp; Phases'!F8</f>
        <v>12</v>
      </c>
    </row>
    <row r="10" spans="1:6" ht="18" customHeight="1" x14ac:dyDescent="0.2">
      <c r="A10" s="32" t="str">
        <f>'Scope &amp; Phases'!A9</f>
        <v>A</v>
      </c>
      <c r="B10" s="36">
        <f>'Scope &amp; Phases'!B9</f>
        <v>0</v>
      </c>
      <c r="C10" s="36" t="str">
        <f>'Scope &amp; Phases'!C9</f>
        <v>Design &amp; Drafting</v>
      </c>
      <c r="D10" s="32">
        <f>'Scope &amp; Phases'!D9</f>
        <v>0</v>
      </c>
      <c r="E10" s="60">
        <f>'Scope &amp; Phases'!E9</f>
        <v>0</v>
      </c>
      <c r="F10" s="35">
        <f>'Scope &amp; Phases'!F9</f>
        <v>0</v>
      </c>
    </row>
    <row r="11" spans="1:6" ht="18" customHeight="1" x14ac:dyDescent="0.2">
      <c r="A11" s="32" t="str">
        <f>'Scope &amp; Phases'!A10</f>
        <v>A</v>
      </c>
      <c r="B11" s="36">
        <f>'Scope &amp; Phases'!B10</f>
        <v>0</v>
      </c>
      <c r="C11" s="36" t="str">
        <f>'Scope &amp; Phases'!C10</f>
        <v>Feasibility &amp; Inspections</v>
      </c>
      <c r="D11" s="32" t="str">
        <f>'Scope &amp; Phases'!D10</f>
        <v>x</v>
      </c>
      <c r="E11" s="60">
        <f>'Scope &amp; Phases'!E10</f>
        <v>750</v>
      </c>
      <c r="F11" s="35">
        <f>'Scope &amp; Phases'!F10</f>
        <v>4</v>
      </c>
    </row>
    <row r="12" spans="1:6" ht="18" customHeight="1" x14ac:dyDescent="0.2">
      <c r="A12" s="32" t="str">
        <f>'Scope &amp; Phases'!A11</f>
        <v>A</v>
      </c>
      <c r="B12" s="36">
        <f>'Scope &amp; Phases'!B11</f>
        <v>0</v>
      </c>
      <c r="C12" s="36" t="str">
        <f>'Scope &amp; Phases'!C11</f>
        <v>Impact &amp; Utility Connection Fees</v>
      </c>
      <c r="D12" s="32">
        <f>'Scope &amp; Phases'!D11</f>
        <v>0</v>
      </c>
      <c r="E12" s="60">
        <f>'Scope &amp; Phases'!E11</f>
        <v>0</v>
      </c>
      <c r="F12" s="35">
        <f>'Scope &amp; Phases'!F11</f>
        <v>0</v>
      </c>
    </row>
    <row r="13" spans="1:6" ht="18" customHeight="1" x14ac:dyDescent="0.2">
      <c r="A13" s="32" t="str">
        <f>'Scope &amp; Phases'!A12</f>
        <v>A</v>
      </c>
      <c r="B13" s="36">
        <f>'Scope &amp; Phases'!B12</f>
        <v>0</v>
      </c>
      <c r="C13" s="36" t="str">
        <f>'Scope &amp; Phases'!C12</f>
        <v>Insurance</v>
      </c>
      <c r="D13" s="32" t="str">
        <f>'Scope &amp; Phases'!D12</f>
        <v>x</v>
      </c>
      <c r="E13" s="60">
        <f>'Scope &amp; Phases'!E12</f>
        <v>1675</v>
      </c>
      <c r="F13" s="35">
        <f>'Scope &amp; Phases'!F12</f>
        <v>0</v>
      </c>
    </row>
    <row r="14" spans="1:6" ht="18" customHeight="1" x14ac:dyDescent="0.2">
      <c r="A14" s="32" t="str">
        <f>'Scope &amp; Phases'!A13</f>
        <v>A</v>
      </c>
      <c r="B14" s="36">
        <f>'Scope &amp; Phases'!B13</f>
        <v>0</v>
      </c>
      <c r="C14" s="36" t="str">
        <f>'Scope &amp; Phases'!C13</f>
        <v>Utility Setup &amp; Deposits</v>
      </c>
      <c r="D14" s="32" t="str">
        <f>'Scope &amp; Phases'!D13</f>
        <v>x</v>
      </c>
      <c r="E14" s="60">
        <f>'Scope &amp; Phases'!E13</f>
        <v>400</v>
      </c>
      <c r="F14" s="35">
        <f>'Scope &amp; Phases'!F13</f>
        <v>0</v>
      </c>
    </row>
    <row r="15" spans="1:6" ht="18" customHeight="1" x14ac:dyDescent="0.2">
      <c r="A15" s="32" t="str">
        <f>'Scope &amp; Phases'!A14</f>
        <v>A</v>
      </c>
      <c r="B15" s="36">
        <f>'Scope &amp; Phases'!B14</f>
        <v>0</v>
      </c>
      <c r="C15" s="36" t="str">
        <f>'Scope &amp; Phases'!C14</f>
        <v>General Conditions &amp; Supervision</v>
      </c>
      <c r="D15" s="32" t="str">
        <f>'Scope &amp; Phases'!D14</f>
        <v>x</v>
      </c>
      <c r="E15" s="60">
        <f>'Scope &amp; Phases'!E14</f>
        <v>4225</v>
      </c>
      <c r="F15" s="35">
        <f>'Scope &amp; Phases'!F14</f>
        <v>0</v>
      </c>
    </row>
    <row r="16" spans="1:6" ht="18" customHeight="1" x14ac:dyDescent="0.2">
      <c r="A16" s="32" t="str">
        <f>'Scope &amp; Phases'!A15</f>
        <v>A</v>
      </c>
      <c r="B16" s="36">
        <f>'Scope &amp; Phases'!B15</f>
        <v>0</v>
      </c>
      <c r="C16" s="36" t="str">
        <f>'Scope &amp; Phases'!C15</f>
        <v>Contingency Reserve</v>
      </c>
      <c r="D16" s="32" t="str">
        <f>'Scope &amp; Phases'!D15</f>
        <v>x</v>
      </c>
      <c r="E16" s="60">
        <f>'Scope &amp; Phases'!E15</f>
        <v>6600</v>
      </c>
      <c r="F16" s="35">
        <f>'Scope &amp; Phases'!F15</f>
        <v>0</v>
      </c>
    </row>
    <row r="17" spans="1:6" ht="18" customHeight="1" x14ac:dyDescent="0.2">
      <c r="A17" s="32" t="str">
        <f>'Scope &amp; Phases'!A16</f>
        <v>1</v>
      </c>
      <c r="B17" s="36" t="str">
        <f>'Scope &amp; Phases'!B16</f>
        <v>Demolition, Foundation &amp; Underground</v>
      </c>
      <c r="C17" s="36" t="str">
        <f>'Scope &amp; Phases'!C16</f>
        <v>Mobilization</v>
      </c>
      <c r="D17" s="32" t="str">
        <f>'Scope &amp; Phases'!D16</f>
        <v>x</v>
      </c>
      <c r="E17" s="60">
        <f>'Scope &amp; Phases'!E16</f>
        <v>800</v>
      </c>
      <c r="F17" s="35">
        <f>'Scope &amp; Phases'!F16</f>
        <v>2</v>
      </c>
    </row>
    <row r="18" spans="1:6" ht="18" customHeight="1" x14ac:dyDescent="0.2">
      <c r="A18" s="32" t="str">
        <f>'Scope &amp; Phases'!A17</f>
        <v>1</v>
      </c>
      <c r="B18" s="36">
        <f>'Scope &amp; Phases'!B17</f>
        <v>0</v>
      </c>
      <c r="C18" s="36" t="str">
        <f>'Scope &amp; Phases'!C17</f>
        <v>Hazmat Abatement</v>
      </c>
      <c r="D18" s="32">
        <f>'Scope &amp; Phases'!D17</f>
        <v>0</v>
      </c>
      <c r="E18" s="60">
        <f>'Scope &amp; Phases'!E17</f>
        <v>0</v>
      </c>
      <c r="F18" s="35">
        <f>'Scope &amp; Phases'!F17</f>
        <v>0</v>
      </c>
    </row>
    <row r="19" spans="1:6" ht="18" customHeight="1" x14ac:dyDescent="0.2">
      <c r="A19" s="32" t="str">
        <f>'Scope &amp; Phases'!A18</f>
        <v>1</v>
      </c>
      <c r="B19" s="36">
        <f>'Scope &amp; Phases'!B18</f>
        <v>0</v>
      </c>
      <c r="C19" s="36" t="str">
        <f>'Scope &amp; Phases'!C18</f>
        <v>Selective Demolition</v>
      </c>
      <c r="D19" s="32" t="str">
        <f>'Scope &amp; Phases'!D18</f>
        <v>x</v>
      </c>
      <c r="E19" s="60">
        <f>'Scope &amp; Phases'!E18</f>
        <v>4750</v>
      </c>
      <c r="F19" s="35">
        <f>'Scope &amp; Phases'!F18</f>
        <v>6</v>
      </c>
    </row>
    <row r="20" spans="1:6" ht="18" customHeight="1" x14ac:dyDescent="0.2">
      <c r="A20" s="32" t="str">
        <f>'Scope &amp; Phases'!A19</f>
        <v>1</v>
      </c>
      <c r="B20" s="36">
        <f>'Scope &amp; Phases'!B19</f>
        <v>0</v>
      </c>
      <c r="C20" s="36" t="str">
        <f>'Scope &amp; Phases'!C19</f>
        <v>Excavation &amp; Grading</v>
      </c>
      <c r="D20" s="32">
        <f>'Scope &amp; Phases'!D19</f>
        <v>0</v>
      </c>
      <c r="E20" s="60">
        <f>'Scope &amp; Phases'!E19</f>
        <v>0</v>
      </c>
      <c r="F20" s="35">
        <f>'Scope &amp; Phases'!F19</f>
        <v>0</v>
      </c>
    </row>
    <row r="21" spans="1:6" ht="18" customHeight="1" x14ac:dyDescent="0.2">
      <c r="A21" s="32" t="str">
        <f>'Scope &amp; Phases'!A20</f>
        <v>1</v>
      </c>
      <c r="B21" s="36">
        <f>'Scope &amp; Phases'!B20</f>
        <v>0</v>
      </c>
      <c r="C21" s="36" t="str">
        <f>'Scope &amp; Phases'!C20</f>
        <v>Foundation &amp; Slab</v>
      </c>
      <c r="D21" s="32">
        <f>'Scope &amp; Phases'!D20</f>
        <v>0</v>
      </c>
      <c r="E21" s="60">
        <f>'Scope &amp; Phases'!E20</f>
        <v>0</v>
      </c>
      <c r="F21" s="35">
        <f>'Scope &amp; Phases'!F20</f>
        <v>0</v>
      </c>
    </row>
    <row r="22" spans="1:6" ht="18" customHeight="1" x14ac:dyDescent="0.2">
      <c r="A22" s="32" t="str">
        <f>'Scope &amp; Phases'!A21</f>
        <v>1</v>
      </c>
      <c r="B22" s="36">
        <f>'Scope &amp; Phases'!B21</f>
        <v>0</v>
      </c>
      <c r="C22" s="36" t="str">
        <f>'Scope &amp; Phases'!C21</f>
        <v>Underground Plumbing</v>
      </c>
      <c r="D22" s="32">
        <f>'Scope &amp; Phases'!D21</f>
        <v>0</v>
      </c>
      <c r="E22" s="60">
        <f>'Scope &amp; Phases'!E21</f>
        <v>0</v>
      </c>
      <c r="F22" s="35">
        <f>'Scope &amp; Phases'!F21</f>
        <v>0</v>
      </c>
    </row>
    <row r="23" spans="1:6" ht="18" customHeight="1" x14ac:dyDescent="0.2">
      <c r="A23" s="32" t="str">
        <f>'Scope &amp; Phases'!A22</f>
        <v>1</v>
      </c>
      <c r="B23" s="36">
        <f>'Scope &amp; Phases'!B22</f>
        <v>0</v>
      </c>
      <c r="C23" s="36" t="str">
        <f>'Scope &amp; Phases'!C22</f>
        <v>Septic</v>
      </c>
      <c r="D23" s="32">
        <f>'Scope &amp; Phases'!D22</f>
        <v>0</v>
      </c>
      <c r="E23" s="60">
        <f>'Scope &amp; Phases'!E22</f>
        <v>0</v>
      </c>
      <c r="F23" s="35">
        <f>'Scope &amp; Phases'!F22</f>
        <v>0</v>
      </c>
    </row>
    <row r="24" spans="1:6" ht="18" customHeight="1" x14ac:dyDescent="0.2">
      <c r="A24" s="32" t="str">
        <f>'Scope &amp; Phases'!A23</f>
        <v>1</v>
      </c>
      <c r="B24" s="36">
        <f>'Scope &amp; Phases'!B23</f>
        <v>0</v>
      </c>
      <c r="C24" s="36" t="str">
        <f>'Scope &amp; Phases'!C23</f>
        <v>Underground Electrical &amp; Service</v>
      </c>
      <c r="D24" s="32">
        <f>'Scope &amp; Phases'!D23</f>
        <v>0</v>
      </c>
      <c r="E24" s="60">
        <f>'Scope &amp; Phases'!E23</f>
        <v>0</v>
      </c>
      <c r="F24" s="35">
        <f>'Scope &amp; Phases'!F23</f>
        <v>0</v>
      </c>
    </row>
    <row r="25" spans="1:6" ht="18" customHeight="1" x14ac:dyDescent="0.2">
      <c r="A25" s="32" t="str">
        <f>'Scope &amp; Phases'!A24</f>
        <v>1</v>
      </c>
      <c r="B25" s="36">
        <f>'Scope &amp; Phases'!B24</f>
        <v>0</v>
      </c>
      <c r="C25" s="36" t="str">
        <f>'Scope &amp; Phases'!C24</f>
        <v>Pest &amp; Soil Treatment</v>
      </c>
      <c r="D25" s="32" t="str">
        <f>'Scope &amp; Phases'!D24</f>
        <v>x</v>
      </c>
      <c r="E25" s="60">
        <f>'Scope &amp; Phases'!E24</f>
        <v>450</v>
      </c>
      <c r="F25" s="35">
        <f>'Scope &amp; Phases'!F24</f>
        <v>1</v>
      </c>
    </row>
    <row r="26" spans="1:6" ht="18" customHeight="1" x14ac:dyDescent="0.2">
      <c r="A26" s="32" t="str">
        <f>'Scope &amp; Phases'!A25</f>
        <v>2</v>
      </c>
      <c r="B26" s="36" t="str">
        <f>'Scope &amp; Phases'!B25</f>
        <v>Framing, Roofing &amp; Rough MEP</v>
      </c>
      <c r="C26" s="36" t="str">
        <f>'Scope &amp; Phases'!C25</f>
        <v>Framing Labor</v>
      </c>
      <c r="D26" s="32" t="str">
        <f>'Scope &amp; Phases'!D25</f>
        <v>x</v>
      </c>
      <c r="E26" s="60">
        <f>'Scope &amp; Phases'!E25</f>
        <v>3350</v>
      </c>
      <c r="F26" s="35">
        <f>'Scope &amp; Phases'!F25</f>
        <v>6</v>
      </c>
    </row>
    <row r="27" spans="1:6" ht="18" customHeight="1" x14ac:dyDescent="0.2">
      <c r="A27" s="32" t="str">
        <f>'Scope &amp; Phases'!A26</f>
        <v>2</v>
      </c>
      <c r="B27" s="36">
        <f>'Scope &amp; Phases'!B26</f>
        <v>0</v>
      </c>
      <c r="C27" s="36" t="str">
        <f>'Scope &amp; Phases'!C26</f>
        <v>Framing Material</v>
      </c>
      <c r="D27" s="32" t="str">
        <f>'Scope &amp; Phases'!D26</f>
        <v>x</v>
      </c>
      <c r="E27" s="60">
        <f>'Scope &amp; Phases'!E26</f>
        <v>2725</v>
      </c>
      <c r="F27" s="35">
        <f>'Scope &amp; Phases'!F26</f>
        <v>2</v>
      </c>
    </row>
    <row r="28" spans="1:6" ht="18" customHeight="1" x14ac:dyDescent="0.2">
      <c r="A28" s="32" t="str">
        <f>'Scope &amp; Phases'!A27</f>
        <v>2</v>
      </c>
      <c r="B28" s="36">
        <f>'Scope &amp; Phases'!B27</f>
        <v>0</v>
      </c>
      <c r="C28" s="36" t="str">
        <f>'Scope &amp; Phases'!C27</f>
        <v>Structural Steel &amp; Beams</v>
      </c>
      <c r="D28" s="32">
        <f>'Scope &amp; Phases'!D27</f>
        <v>0</v>
      </c>
      <c r="E28" s="60">
        <f>'Scope &amp; Phases'!E27</f>
        <v>0</v>
      </c>
      <c r="F28" s="35">
        <f>'Scope &amp; Phases'!F27</f>
        <v>0</v>
      </c>
    </row>
    <row r="29" spans="1:6" ht="18" customHeight="1" x14ac:dyDescent="0.2">
      <c r="A29" s="32" t="str">
        <f>'Scope &amp; Phases'!A28</f>
        <v>2</v>
      </c>
      <c r="B29" s="36">
        <f>'Scope &amp; Phases'!B28</f>
        <v>0</v>
      </c>
      <c r="C29" s="36" t="str">
        <f>'Scope &amp; Phases'!C28</f>
        <v>Roofing</v>
      </c>
      <c r="D29" s="32" t="str">
        <f>'Scope &amp; Phases'!D28</f>
        <v>x</v>
      </c>
      <c r="E29" s="60">
        <f>'Scope &amp; Phases'!E28</f>
        <v>6950</v>
      </c>
      <c r="F29" s="35">
        <f>'Scope &amp; Phases'!F28</f>
        <v>4</v>
      </c>
    </row>
    <row r="30" spans="1:6" ht="18" customHeight="1" x14ac:dyDescent="0.2">
      <c r="A30" s="32" t="str">
        <f>'Scope &amp; Phases'!A29</f>
        <v>2</v>
      </c>
      <c r="B30" s="36">
        <f>'Scope &amp; Phases'!B29</f>
        <v>0</v>
      </c>
      <c r="C30" s="36" t="str">
        <f>'Scope &amp; Phases'!C29</f>
        <v>Windows &amp; Exterior Doors</v>
      </c>
      <c r="D30" s="32" t="str">
        <f>'Scope &amp; Phases'!D29</f>
        <v>x</v>
      </c>
      <c r="E30" s="60">
        <f>'Scope &amp; Phases'!E29</f>
        <v>5450</v>
      </c>
      <c r="F30" s="35">
        <f>'Scope &amp; Phases'!F29</f>
        <v>3</v>
      </c>
    </row>
    <row r="31" spans="1:6" ht="18" customHeight="1" x14ac:dyDescent="0.2">
      <c r="A31" s="32" t="str">
        <f>'Scope &amp; Phases'!A30</f>
        <v>2</v>
      </c>
      <c r="B31" s="36">
        <f>'Scope &amp; Phases'!B30</f>
        <v>0</v>
      </c>
      <c r="C31" s="36" t="str">
        <f>'Scope &amp; Phases'!C30</f>
        <v>Rough Plumbing</v>
      </c>
      <c r="D31" s="32" t="str">
        <f>'Scope &amp; Phases'!D30</f>
        <v>x</v>
      </c>
      <c r="E31" s="60">
        <f>'Scope &amp; Phases'!E30</f>
        <v>3875</v>
      </c>
      <c r="F31" s="35">
        <f>'Scope &amp; Phases'!F30</f>
        <v>5</v>
      </c>
    </row>
    <row r="32" spans="1:6" ht="18" customHeight="1" x14ac:dyDescent="0.2">
      <c r="A32" s="32" t="str">
        <f>'Scope &amp; Phases'!A31</f>
        <v>2</v>
      </c>
      <c r="B32" s="36">
        <f>'Scope &amp; Phases'!B31</f>
        <v>0</v>
      </c>
      <c r="C32" s="36" t="str">
        <f>'Scope &amp; Phases'!C31</f>
        <v>Rough Electrical</v>
      </c>
      <c r="D32" s="32" t="str">
        <f>'Scope &amp; Phases'!D31</f>
        <v>x</v>
      </c>
      <c r="E32" s="60">
        <f>'Scope &amp; Phases'!E31</f>
        <v>4300</v>
      </c>
      <c r="F32" s="35">
        <f>'Scope &amp; Phases'!F31</f>
        <v>6</v>
      </c>
    </row>
    <row r="33" spans="1:6" ht="18" customHeight="1" x14ac:dyDescent="0.2">
      <c r="A33" s="32" t="str">
        <f>'Scope &amp; Phases'!A32</f>
        <v>2</v>
      </c>
      <c r="B33" s="36">
        <f>'Scope &amp; Phases'!B32</f>
        <v>0</v>
      </c>
      <c r="C33" s="36" t="str">
        <f>'Scope &amp; Phases'!C32</f>
        <v>Rough HVAC</v>
      </c>
      <c r="D33" s="32" t="str">
        <f>'Scope &amp; Phases'!D32</f>
        <v>x</v>
      </c>
      <c r="E33" s="60">
        <f>'Scope &amp; Phases'!E32</f>
        <v>5975</v>
      </c>
      <c r="F33" s="35">
        <f>'Scope &amp; Phases'!F32</f>
        <v>4</v>
      </c>
    </row>
    <row r="34" spans="1:6" ht="18" customHeight="1" x14ac:dyDescent="0.2">
      <c r="A34" s="32" t="str">
        <f>'Scope &amp; Phases'!A33</f>
        <v>2</v>
      </c>
      <c r="B34" s="36">
        <f>'Scope &amp; Phases'!B33</f>
        <v>0</v>
      </c>
      <c r="C34" s="36" t="str">
        <f>'Scope &amp; Phases'!C33</f>
        <v>Low Voltage Rough</v>
      </c>
      <c r="D34" s="32">
        <f>'Scope &amp; Phases'!D33</f>
        <v>0</v>
      </c>
      <c r="E34" s="60">
        <f>'Scope &amp; Phases'!E33</f>
        <v>0</v>
      </c>
      <c r="F34" s="35">
        <f>'Scope &amp; Phases'!F33</f>
        <v>0</v>
      </c>
    </row>
    <row r="35" spans="1:6" ht="18" customHeight="1" x14ac:dyDescent="0.2">
      <c r="A35" s="32" t="str">
        <f>'Scope &amp; Phases'!A34</f>
        <v>2</v>
      </c>
      <c r="B35" s="36">
        <f>'Scope &amp; Phases'!B34</f>
        <v>0</v>
      </c>
      <c r="C35" s="36" t="str">
        <f>'Scope &amp; Phases'!C34</f>
        <v>Rough Inspections</v>
      </c>
      <c r="D35" s="32" t="str">
        <f>'Scope &amp; Phases'!D34</f>
        <v>x</v>
      </c>
      <c r="E35" s="60">
        <f>'Scope &amp; Phases'!E34</f>
        <v>300</v>
      </c>
      <c r="F35" s="35">
        <f>'Scope &amp; Phases'!F34</f>
        <v>3</v>
      </c>
    </row>
    <row r="36" spans="1:6" ht="18" customHeight="1" x14ac:dyDescent="0.2">
      <c r="A36" s="32" t="str">
        <f>'Scope &amp; Phases'!A35</f>
        <v>3</v>
      </c>
      <c r="B36" s="36" t="str">
        <f>'Scope &amp; Phases'!B35</f>
        <v>Insulation, Drywall, Doors, Trim &amp; Paint</v>
      </c>
      <c r="C36" s="36" t="str">
        <f>'Scope &amp; Phases'!C35</f>
        <v>Insulation</v>
      </c>
      <c r="D36" s="32" t="str">
        <f>'Scope &amp; Phases'!D35</f>
        <v>x</v>
      </c>
      <c r="E36" s="60">
        <f>'Scope &amp; Phases'!E35</f>
        <v>1850</v>
      </c>
      <c r="F36" s="35">
        <f>'Scope &amp; Phases'!F35</f>
        <v>2</v>
      </c>
    </row>
    <row r="37" spans="1:6" ht="18" customHeight="1" x14ac:dyDescent="0.2">
      <c r="A37" s="32" t="str">
        <f>'Scope &amp; Phases'!A36</f>
        <v>3</v>
      </c>
      <c r="B37" s="36">
        <f>'Scope &amp; Phases'!B36</f>
        <v>0</v>
      </c>
      <c r="C37" s="36" t="str">
        <f>'Scope &amp; Phases'!C36</f>
        <v>Drywall</v>
      </c>
      <c r="D37" s="32" t="str">
        <f>'Scope &amp; Phases'!D36</f>
        <v>x</v>
      </c>
      <c r="E37" s="60">
        <f>'Scope &amp; Phases'!E36</f>
        <v>5625</v>
      </c>
      <c r="F37" s="35">
        <f>'Scope &amp; Phases'!F36</f>
        <v>8</v>
      </c>
    </row>
    <row r="38" spans="1:6" ht="18" customHeight="1" x14ac:dyDescent="0.2">
      <c r="A38" s="32" t="str">
        <f>'Scope &amp; Phases'!A37</f>
        <v>3</v>
      </c>
      <c r="B38" s="36">
        <f>'Scope &amp; Phases'!B37</f>
        <v>0</v>
      </c>
      <c r="C38" s="36" t="str">
        <f>'Scope &amp; Phases'!C37</f>
        <v>Interior Doors</v>
      </c>
      <c r="D38" s="32" t="str">
        <f>'Scope &amp; Phases'!D37</f>
        <v>x</v>
      </c>
      <c r="E38" s="60">
        <f>'Scope &amp; Phases'!E37</f>
        <v>2025</v>
      </c>
      <c r="F38" s="35">
        <f>'Scope &amp; Phases'!F37</f>
        <v>3</v>
      </c>
    </row>
    <row r="39" spans="1:6" ht="18" customHeight="1" x14ac:dyDescent="0.2">
      <c r="A39" s="32" t="str">
        <f>'Scope &amp; Phases'!A38</f>
        <v>3</v>
      </c>
      <c r="B39" s="36">
        <f>'Scope &amp; Phases'!B38</f>
        <v>0</v>
      </c>
      <c r="C39" s="36" t="str">
        <f>'Scope &amp; Phases'!C38</f>
        <v>Trim &amp; Millwork</v>
      </c>
      <c r="D39" s="32" t="str">
        <f>'Scope &amp; Phases'!D38</f>
        <v>x</v>
      </c>
      <c r="E39" s="60">
        <f>'Scope &amp; Phases'!E38</f>
        <v>2550</v>
      </c>
      <c r="F39" s="35">
        <f>'Scope &amp; Phases'!F38</f>
        <v>4</v>
      </c>
    </row>
    <row r="40" spans="1:6" ht="18" customHeight="1" x14ac:dyDescent="0.2">
      <c r="A40" s="32" t="str">
        <f>'Scope &amp; Phases'!A39</f>
        <v>3</v>
      </c>
      <c r="B40" s="36">
        <f>'Scope &amp; Phases'!B39</f>
        <v>0</v>
      </c>
      <c r="C40" s="36" t="str">
        <f>'Scope &amp; Phases'!C39</f>
        <v>Stairs &amp; Railings</v>
      </c>
      <c r="D40" s="32">
        <f>'Scope &amp; Phases'!D39</f>
        <v>0</v>
      </c>
      <c r="E40" s="60">
        <f>'Scope &amp; Phases'!E39</f>
        <v>0</v>
      </c>
      <c r="F40" s="35">
        <f>'Scope &amp; Phases'!F39</f>
        <v>0</v>
      </c>
    </row>
    <row r="41" spans="1:6" ht="18" customHeight="1" x14ac:dyDescent="0.2">
      <c r="A41" s="32" t="str">
        <f>'Scope &amp; Phases'!A40</f>
        <v>3</v>
      </c>
      <c r="B41" s="36">
        <f>'Scope &amp; Phases'!B40</f>
        <v>0</v>
      </c>
      <c r="C41" s="36" t="str">
        <f>'Scope &amp; Phases'!C40</f>
        <v>Interior Paint</v>
      </c>
      <c r="D41" s="32" t="str">
        <f>'Scope &amp; Phases'!D40</f>
        <v>x</v>
      </c>
      <c r="E41" s="60">
        <f>'Scope &amp; Phases'!E40</f>
        <v>4050</v>
      </c>
      <c r="F41" s="35">
        <f>'Scope &amp; Phases'!F40</f>
        <v>5</v>
      </c>
    </row>
    <row r="42" spans="1:6" ht="18" customHeight="1" x14ac:dyDescent="0.2">
      <c r="A42" s="32" t="str">
        <f>'Scope &amp; Phases'!A41</f>
        <v>4</v>
      </c>
      <c r="B42" s="36" t="str">
        <f>'Scope &amp; Phases'!B41</f>
        <v>Cabinets &amp; Countertops</v>
      </c>
      <c r="C42" s="36" t="str">
        <f>'Scope &amp; Phases'!C41</f>
        <v>Kitchen Cabinets</v>
      </c>
      <c r="D42" s="32" t="str">
        <f>'Scope &amp; Phases'!D41</f>
        <v>x</v>
      </c>
      <c r="E42" s="60">
        <f>'Scope &amp; Phases'!E41</f>
        <v>6075</v>
      </c>
      <c r="F42" s="35">
        <f>'Scope &amp; Phases'!F41</f>
        <v>4</v>
      </c>
    </row>
    <row r="43" spans="1:6" ht="18" customHeight="1" x14ac:dyDescent="0.2">
      <c r="A43" s="32" t="str">
        <f>'Scope &amp; Phases'!A42</f>
        <v>4</v>
      </c>
      <c r="B43" s="36">
        <f>'Scope &amp; Phases'!B42</f>
        <v>0</v>
      </c>
      <c r="C43" s="36" t="str">
        <f>'Scope &amp; Phases'!C42</f>
        <v>Bath Vanities</v>
      </c>
      <c r="D43" s="32" t="str">
        <f>'Scope &amp; Phases'!D42</f>
        <v>x</v>
      </c>
      <c r="E43" s="60">
        <f>'Scope &amp; Phases'!E42</f>
        <v>1625</v>
      </c>
      <c r="F43" s="35">
        <f>'Scope &amp; Phases'!F42</f>
        <v>2</v>
      </c>
    </row>
    <row r="44" spans="1:6" ht="18" customHeight="1" x14ac:dyDescent="0.2">
      <c r="A44" s="32" t="str">
        <f>'Scope &amp; Phases'!A43</f>
        <v>4</v>
      </c>
      <c r="B44" s="36">
        <f>'Scope &amp; Phases'!B43</f>
        <v>0</v>
      </c>
      <c r="C44" s="36" t="str">
        <f>'Scope &amp; Phases'!C43</f>
        <v>Laundry &amp; Utility Cabinets</v>
      </c>
      <c r="D44" s="32" t="str">
        <f>'Scope &amp; Phases'!D43</f>
        <v>x</v>
      </c>
      <c r="E44" s="60">
        <f>'Scope &amp; Phases'!E43</f>
        <v>675</v>
      </c>
      <c r="F44" s="35">
        <f>'Scope &amp; Phases'!F43</f>
        <v>1</v>
      </c>
    </row>
    <row r="45" spans="1:6" ht="18" customHeight="1" x14ac:dyDescent="0.2">
      <c r="A45" s="32" t="str">
        <f>'Scope &amp; Phases'!A44</f>
        <v>4</v>
      </c>
      <c r="B45" s="36">
        <f>'Scope &amp; Phases'!B44</f>
        <v>0</v>
      </c>
      <c r="C45" s="36" t="str">
        <f>'Scope &amp; Phases'!C44</f>
        <v>Closet Systems</v>
      </c>
      <c r="D45" s="32">
        <f>'Scope &amp; Phases'!D44</f>
        <v>0</v>
      </c>
      <c r="E45" s="60">
        <f>'Scope &amp; Phases'!E44</f>
        <v>0</v>
      </c>
      <c r="F45" s="35">
        <f>'Scope &amp; Phases'!F44</f>
        <v>0</v>
      </c>
    </row>
    <row r="46" spans="1:6" ht="18" customHeight="1" x14ac:dyDescent="0.2">
      <c r="A46" s="32" t="str">
        <f>'Scope &amp; Phases'!A45</f>
        <v>4</v>
      </c>
      <c r="B46" s="36">
        <f>'Scope &amp; Phases'!B45</f>
        <v>0</v>
      </c>
      <c r="C46" s="36" t="str">
        <f>'Scope &amp; Phases'!C45</f>
        <v>Countertops</v>
      </c>
      <c r="D46" s="32" t="str">
        <f>'Scope &amp; Phases'!D45</f>
        <v>x</v>
      </c>
      <c r="E46" s="60">
        <f>'Scope &amp; Phases'!E45</f>
        <v>3700</v>
      </c>
      <c r="F46" s="35">
        <f>'Scope &amp; Phases'!F45</f>
        <v>3</v>
      </c>
    </row>
    <row r="47" spans="1:6" ht="18" customHeight="1" x14ac:dyDescent="0.2">
      <c r="A47" s="32" t="str">
        <f>'Scope &amp; Phases'!A46</f>
        <v>4</v>
      </c>
      <c r="B47" s="36">
        <f>'Scope &amp; Phases'!B46</f>
        <v>0</v>
      </c>
      <c r="C47" s="36" t="str">
        <f>'Scope &amp; Phases'!C46</f>
        <v>Cabinet Hardware</v>
      </c>
      <c r="D47" s="32" t="str">
        <f>'Scope &amp; Phases'!D46</f>
        <v>x</v>
      </c>
      <c r="E47" s="60">
        <f>'Scope &amp; Phases'!E46</f>
        <v>550</v>
      </c>
      <c r="F47" s="35">
        <f>'Scope &amp; Phases'!F46</f>
        <v>1</v>
      </c>
    </row>
    <row r="48" spans="1:6" ht="18" customHeight="1" x14ac:dyDescent="0.2">
      <c r="A48" s="32" t="str">
        <f>'Scope &amp; Phases'!A47</f>
        <v>5</v>
      </c>
      <c r="B48" s="36" t="str">
        <f>'Scope &amp; Phases'!B47</f>
        <v>Tile &amp; Flooring</v>
      </c>
      <c r="C48" s="36" t="str">
        <f>'Scope &amp; Phases'!C47</f>
        <v>Floor Prep &amp; Leveling</v>
      </c>
      <c r="D48" s="32" t="str">
        <f>'Scope &amp; Phases'!D47</f>
        <v>x</v>
      </c>
      <c r="E48" s="60">
        <f>'Scope &amp; Phases'!E47</f>
        <v>925</v>
      </c>
      <c r="F48" s="35">
        <f>'Scope &amp; Phases'!F47</f>
        <v>2</v>
      </c>
    </row>
    <row r="49" spans="1:6" ht="18" customHeight="1" x14ac:dyDescent="0.2">
      <c r="A49" s="32" t="str">
        <f>'Scope &amp; Phases'!A48</f>
        <v>5</v>
      </c>
      <c r="B49" s="36">
        <f>'Scope &amp; Phases'!B48</f>
        <v>0</v>
      </c>
      <c r="C49" s="36" t="str">
        <f>'Scope &amp; Phases'!C48</f>
        <v>Floor Tile</v>
      </c>
      <c r="D49" s="32" t="str">
        <f>'Scope &amp; Phases'!D48</f>
        <v>x</v>
      </c>
      <c r="E49" s="60">
        <f>'Scope &amp; Phases'!E48</f>
        <v>3000</v>
      </c>
      <c r="F49" s="35">
        <f>'Scope &amp; Phases'!F48</f>
        <v>4</v>
      </c>
    </row>
    <row r="50" spans="1:6" ht="18" customHeight="1" x14ac:dyDescent="0.2">
      <c r="A50" s="32" t="str">
        <f>'Scope &amp; Phases'!A49</f>
        <v>5</v>
      </c>
      <c r="B50" s="36">
        <f>'Scope &amp; Phases'!B49</f>
        <v>0</v>
      </c>
      <c r="C50" s="36" t="str">
        <f>'Scope &amp; Phases'!C49</f>
        <v>Shower &amp; Tub Surround Tile</v>
      </c>
      <c r="D50" s="32" t="str">
        <f>'Scope &amp; Phases'!D49</f>
        <v>x</v>
      </c>
      <c r="E50" s="60">
        <f>'Scope &amp; Phases'!E49</f>
        <v>2475</v>
      </c>
      <c r="F50" s="35">
        <f>'Scope &amp; Phases'!F49</f>
        <v>4</v>
      </c>
    </row>
    <row r="51" spans="1:6" ht="18" customHeight="1" x14ac:dyDescent="0.2">
      <c r="A51" s="32" t="str">
        <f>'Scope &amp; Phases'!A50</f>
        <v>5</v>
      </c>
      <c r="B51" s="36">
        <f>'Scope &amp; Phases'!B50</f>
        <v>0</v>
      </c>
      <c r="C51" s="36" t="str">
        <f>'Scope &amp; Phases'!C50</f>
        <v>Backsplash Tile</v>
      </c>
      <c r="D51" s="32" t="str">
        <f>'Scope &amp; Phases'!D50</f>
        <v>x</v>
      </c>
      <c r="E51" s="60">
        <f>'Scope &amp; Phases'!E50</f>
        <v>1000</v>
      </c>
      <c r="F51" s="35">
        <f>'Scope &amp; Phases'!F50</f>
        <v>2</v>
      </c>
    </row>
    <row r="52" spans="1:6" ht="18" customHeight="1" x14ac:dyDescent="0.2">
      <c r="A52" s="32" t="str">
        <f>'Scope &amp; Phases'!A51</f>
        <v>5</v>
      </c>
      <c r="B52" s="36">
        <f>'Scope &amp; Phases'!B51</f>
        <v>0</v>
      </c>
      <c r="C52" s="36" t="str">
        <f>'Scope &amp; Phases'!C51</f>
        <v>LVP / Hardwood / Laminate</v>
      </c>
      <c r="D52" s="32" t="str">
        <f>'Scope &amp; Phases'!D51</f>
        <v>x</v>
      </c>
      <c r="E52" s="60">
        <f>'Scope &amp; Phases'!E51</f>
        <v>5200</v>
      </c>
      <c r="F52" s="35">
        <f>'Scope &amp; Phases'!F51</f>
        <v>4</v>
      </c>
    </row>
    <row r="53" spans="1:6" ht="18" customHeight="1" x14ac:dyDescent="0.2">
      <c r="A53" s="32" t="str">
        <f>'Scope &amp; Phases'!A52</f>
        <v>5</v>
      </c>
      <c r="B53" s="36">
        <f>'Scope &amp; Phases'!B52</f>
        <v>0</v>
      </c>
      <c r="C53" s="36" t="str">
        <f>'Scope &amp; Phases'!C52</f>
        <v>Grout, Sealer &amp; Trim Pieces</v>
      </c>
      <c r="D53" s="32" t="str">
        <f>'Scope &amp; Phases'!D52</f>
        <v>x</v>
      </c>
      <c r="E53" s="60">
        <f>'Scope &amp; Phases'!E52</f>
        <v>450</v>
      </c>
      <c r="F53" s="35">
        <f>'Scope &amp; Phases'!F52</f>
        <v>1</v>
      </c>
    </row>
    <row r="54" spans="1:6" ht="18" customHeight="1" x14ac:dyDescent="0.2">
      <c r="A54" s="32" t="str">
        <f>'Scope &amp; Phases'!A53</f>
        <v>6</v>
      </c>
      <c r="B54" s="36" t="str">
        <f>'Scope &amp; Phases'!B53</f>
        <v>Exterior &amp; Landscaping</v>
      </c>
      <c r="C54" s="36" t="str">
        <f>'Scope &amp; Phases'!C53</f>
        <v>Stucco / Siding</v>
      </c>
      <c r="D54" s="32" t="str">
        <f>'Scope &amp; Phases'!D53</f>
        <v>x</v>
      </c>
      <c r="E54" s="60">
        <f>'Scope &amp; Phases'!E53</f>
        <v>2900</v>
      </c>
      <c r="F54" s="35">
        <f>'Scope &amp; Phases'!F53</f>
        <v>5</v>
      </c>
    </row>
    <row r="55" spans="1:6" ht="18" customHeight="1" x14ac:dyDescent="0.2">
      <c r="A55" s="32" t="str">
        <f>'Scope &amp; Phases'!A54</f>
        <v>6</v>
      </c>
      <c r="B55" s="36">
        <f>'Scope &amp; Phases'!B54</f>
        <v>0</v>
      </c>
      <c r="C55" s="36" t="str">
        <f>'Scope &amp; Phases'!C54</f>
        <v>Fascia, Soffit &amp; Gutters</v>
      </c>
      <c r="D55" s="32" t="str">
        <f>'Scope &amp; Phases'!D54</f>
        <v>x</v>
      </c>
      <c r="E55" s="60">
        <f>'Scope &amp; Phases'!E54</f>
        <v>1400</v>
      </c>
      <c r="F55" s="35">
        <f>'Scope &amp; Phases'!F54</f>
        <v>3</v>
      </c>
    </row>
    <row r="56" spans="1:6" ht="18" customHeight="1" x14ac:dyDescent="0.2">
      <c r="A56" s="32" t="str">
        <f>'Scope &amp; Phases'!A55</f>
        <v>6</v>
      </c>
      <c r="B56" s="36">
        <f>'Scope &amp; Phases'!B55</f>
        <v>0</v>
      </c>
      <c r="C56" s="36" t="str">
        <f>'Scope &amp; Phases'!C55</f>
        <v>Driveway, Walkway &amp; Hardscape</v>
      </c>
      <c r="D56" s="32">
        <f>'Scope &amp; Phases'!D55</f>
        <v>0</v>
      </c>
      <c r="E56" s="60">
        <f>'Scope &amp; Phases'!E55</f>
        <v>0</v>
      </c>
      <c r="F56" s="35">
        <f>'Scope &amp; Phases'!F55</f>
        <v>0</v>
      </c>
    </row>
    <row r="57" spans="1:6" ht="18" customHeight="1" x14ac:dyDescent="0.2">
      <c r="A57" s="32" t="str">
        <f>'Scope &amp; Phases'!A56</f>
        <v>6</v>
      </c>
      <c r="B57" s="36">
        <f>'Scope &amp; Phases'!B56</f>
        <v>0</v>
      </c>
      <c r="C57" s="36" t="str">
        <f>'Scope &amp; Phases'!C56</f>
        <v>Fencing &amp; Gates</v>
      </c>
      <c r="D57" s="32" t="str">
        <f>'Scope &amp; Phases'!D56</f>
        <v>x</v>
      </c>
      <c r="E57" s="60">
        <f>'Scope &amp; Phases'!E56</f>
        <v>2150</v>
      </c>
      <c r="F57" s="35">
        <f>'Scope &amp; Phases'!F56</f>
        <v>3</v>
      </c>
    </row>
    <row r="58" spans="1:6" ht="18" customHeight="1" x14ac:dyDescent="0.2">
      <c r="A58" s="32" t="str">
        <f>'Scope &amp; Phases'!A57</f>
        <v>6</v>
      </c>
      <c r="B58" s="36">
        <f>'Scope &amp; Phases'!B57</f>
        <v>0</v>
      </c>
      <c r="C58" s="36" t="str">
        <f>'Scope &amp; Phases'!C57</f>
        <v>Pool Repair &amp; Resurface</v>
      </c>
      <c r="D58" s="32">
        <f>'Scope &amp; Phases'!D57</f>
        <v>0</v>
      </c>
      <c r="E58" s="60">
        <f>'Scope &amp; Phases'!E57</f>
        <v>0</v>
      </c>
      <c r="F58" s="35">
        <f>'Scope &amp; Phases'!F57</f>
        <v>0</v>
      </c>
    </row>
    <row r="59" spans="1:6" ht="18" customHeight="1" x14ac:dyDescent="0.2">
      <c r="A59" s="32" t="str">
        <f>'Scope &amp; Phases'!A58</f>
        <v>6</v>
      </c>
      <c r="B59" s="36">
        <f>'Scope &amp; Phases'!B58</f>
        <v>0</v>
      </c>
      <c r="C59" s="36" t="str">
        <f>'Scope &amp; Phases'!C58</f>
        <v>Exterior Paint</v>
      </c>
      <c r="D59" s="32" t="str">
        <f>'Scope &amp; Phases'!D58</f>
        <v>x</v>
      </c>
      <c r="E59" s="60">
        <f>'Scope &amp; Phases'!E58</f>
        <v>3250</v>
      </c>
      <c r="F59" s="35">
        <f>'Scope &amp; Phases'!F58</f>
        <v>4</v>
      </c>
    </row>
    <row r="60" spans="1:6" ht="18" customHeight="1" x14ac:dyDescent="0.2">
      <c r="A60" s="32" t="str">
        <f>'Scope &amp; Phases'!A59</f>
        <v>6</v>
      </c>
      <c r="B60" s="36">
        <f>'Scope &amp; Phases'!B59</f>
        <v>0</v>
      </c>
      <c r="C60" s="36" t="str">
        <f>'Scope &amp; Phases'!C59</f>
        <v>Exterior Lighting</v>
      </c>
      <c r="D60" s="32" t="str">
        <f>'Scope &amp; Phases'!D59</f>
        <v>x</v>
      </c>
      <c r="E60" s="60">
        <f>'Scope &amp; Phases'!E59</f>
        <v>575</v>
      </c>
      <c r="F60" s="35">
        <f>'Scope &amp; Phases'!F59</f>
        <v>1</v>
      </c>
    </row>
    <row r="61" spans="1:6" ht="18" customHeight="1" x14ac:dyDescent="0.2">
      <c r="A61" s="32" t="str">
        <f>'Scope &amp; Phases'!A60</f>
        <v>6</v>
      </c>
      <c r="B61" s="36">
        <f>'Scope &amp; Phases'!B60</f>
        <v>0</v>
      </c>
      <c r="C61" s="36" t="str">
        <f>'Scope &amp; Phases'!C60</f>
        <v>Landscaping</v>
      </c>
      <c r="D61" s="32" t="str">
        <f>'Scope &amp; Phases'!D60</f>
        <v>x</v>
      </c>
      <c r="E61" s="60">
        <f>'Scope &amp; Phases'!E60</f>
        <v>4225</v>
      </c>
      <c r="F61" s="35">
        <f>'Scope &amp; Phases'!F60</f>
        <v>6</v>
      </c>
    </row>
    <row r="62" spans="1:6" ht="18" customHeight="1" x14ac:dyDescent="0.2">
      <c r="A62" s="32" t="str">
        <f>'Scope &amp; Phases'!A61</f>
        <v>7</v>
      </c>
      <c r="B62" s="36" t="str">
        <f>'Scope &amp; Phases'!B61</f>
        <v>MEP Finishes, Glass &amp; Appliances</v>
      </c>
      <c r="C62" s="36" t="str">
        <f>'Scope &amp; Phases'!C61</f>
        <v>Plumbing Trim</v>
      </c>
      <c r="D62" s="32" t="str">
        <f>'Scope &amp; Phases'!D61</f>
        <v>x</v>
      </c>
      <c r="E62" s="60">
        <f>'Scope &amp; Phases'!E61</f>
        <v>1750</v>
      </c>
      <c r="F62" s="35">
        <f>'Scope &amp; Phases'!F61</f>
        <v>3</v>
      </c>
    </row>
    <row r="63" spans="1:6" ht="18" customHeight="1" x14ac:dyDescent="0.2">
      <c r="A63" s="32" t="str">
        <f>'Scope &amp; Phases'!A62</f>
        <v>7</v>
      </c>
      <c r="B63" s="36">
        <f>'Scope &amp; Phases'!B62</f>
        <v>0</v>
      </c>
      <c r="C63" s="36" t="str">
        <f>'Scope &amp; Phases'!C62</f>
        <v>Electrical Trim</v>
      </c>
      <c r="D63" s="32" t="str">
        <f>'Scope &amp; Phases'!D62</f>
        <v>x</v>
      </c>
      <c r="E63" s="60">
        <f>'Scope &amp; Phases'!E62</f>
        <v>1550</v>
      </c>
      <c r="F63" s="35">
        <f>'Scope &amp; Phases'!F62</f>
        <v>3</v>
      </c>
    </row>
    <row r="64" spans="1:6" ht="18" customHeight="1" x14ac:dyDescent="0.2">
      <c r="A64" s="32" t="str">
        <f>'Scope &amp; Phases'!A63</f>
        <v>7</v>
      </c>
      <c r="B64" s="36">
        <f>'Scope &amp; Phases'!B63</f>
        <v>0</v>
      </c>
      <c r="C64" s="36" t="str">
        <f>'Scope &amp; Phases'!C63</f>
        <v>HVAC Start-up &amp; Registers</v>
      </c>
      <c r="D64" s="32" t="str">
        <f>'Scope &amp; Phases'!D63</f>
        <v>x</v>
      </c>
      <c r="E64" s="60">
        <f>'Scope &amp; Phases'!E63</f>
        <v>700</v>
      </c>
      <c r="F64" s="35">
        <f>'Scope &amp; Phases'!F63</f>
        <v>2</v>
      </c>
    </row>
    <row r="65" spans="1:6" ht="18" customHeight="1" x14ac:dyDescent="0.2">
      <c r="A65" s="32" t="str">
        <f>'Scope &amp; Phases'!A64</f>
        <v>7</v>
      </c>
      <c r="B65" s="36">
        <f>'Scope &amp; Phases'!B64</f>
        <v>0</v>
      </c>
      <c r="C65" s="36" t="str">
        <f>'Scope &amp; Phases'!C64</f>
        <v>Shower Glass &amp; Mirrors</v>
      </c>
      <c r="D65" s="32" t="str">
        <f>'Scope &amp; Phases'!D64</f>
        <v>x</v>
      </c>
      <c r="E65" s="60">
        <f>'Scope &amp; Phases'!E64</f>
        <v>1850</v>
      </c>
      <c r="F65" s="35">
        <f>'Scope &amp; Phases'!F64</f>
        <v>2</v>
      </c>
    </row>
    <row r="66" spans="1:6" ht="18" customHeight="1" x14ac:dyDescent="0.2">
      <c r="A66" s="32" t="str">
        <f>'Scope &amp; Phases'!A65</f>
        <v>7</v>
      </c>
      <c r="B66" s="36">
        <f>'Scope &amp; Phases'!B65</f>
        <v>0</v>
      </c>
      <c r="C66" s="36" t="str">
        <f>'Scope &amp; Phases'!C65</f>
        <v>Bath Accessories</v>
      </c>
      <c r="D66" s="32" t="str">
        <f>'Scope &amp; Phases'!D65</f>
        <v>x</v>
      </c>
      <c r="E66" s="60">
        <f>'Scope &amp; Phases'!E65</f>
        <v>450</v>
      </c>
      <c r="F66" s="35">
        <f>'Scope &amp; Phases'!F65</f>
        <v>1</v>
      </c>
    </row>
    <row r="67" spans="1:6" ht="18" customHeight="1" x14ac:dyDescent="0.2">
      <c r="A67" s="32" t="str">
        <f>'Scope &amp; Phases'!A66</f>
        <v>7</v>
      </c>
      <c r="B67" s="36">
        <f>'Scope &amp; Phases'!B66</f>
        <v>0</v>
      </c>
      <c r="C67" s="36" t="str">
        <f>'Scope &amp; Phases'!C66</f>
        <v>Appliances</v>
      </c>
      <c r="D67" s="32" t="str">
        <f>'Scope &amp; Phases'!D66</f>
        <v>x</v>
      </c>
      <c r="E67" s="60">
        <f>'Scope &amp; Phases'!E66</f>
        <v>4050</v>
      </c>
      <c r="F67" s="35">
        <f>'Scope &amp; Phases'!F66</f>
        <v>1</v>
      </c>
    </row>
    <row r="68" spans="1:6" ht="18" customHeight="1" x14ac:dyDescent="0.2">
      <c r="A68" s="32" t="str">
        <f>'Scope &amp; Phases'!A67</f>
        <v>7</v>
      </c>
      <c r="B68" s="36">
        <f>'Scope &amp; Phases'!B67</f>
        <v>0</v>
      </c>
      <c r="C68" s="36" t="str">
        <f>'Scope &amp; Phases'!C67</f>
        <v>Garage Door &amp; Opener</v>
      </c>
      <c r="D68" s="32" t="str">
        <f>'Scope &amp; Phases'!D67</f>
        <v>x</v>
      </c>
      <c r="E68" s="60">
        <f>'Scope &amp; Phases'!E67</f>
        <v>1325</v>
      </c>
      <c r="F68" s="35">
        <f>'Scope &amp; Phases'!F67</f>
        <v>1</v>
      </c>
    </row>
    <row r="69" spans="1:6" ht="18" customHeight="1" x14ac:dyDescent="0.2">
      <c r="A69" s="32" t="str">
        <f>'Scope &amp; Phases'!A68</f>
        <v>7</v>
      </c>
      <c r="B69" s="36">
        <f>'Scope &amp; Phases'!B68</f>
        <v>0</v>
      </c>
      <c r="C69" s="36" t="str">
        <f>'Scope &amp; Phases'!C68</f>
        <v>Life Safety &amp; Final Inspections</v>
      </c>
      <c r="D69" s="32" t="str">
        <f>'Scope &amp; Phases'!D68</f>
        <v>x</v>
      </c>
      <c r="E69" s="60">
        <f>'Scope &amp; Phases'!E68</f>
        <v>400</v>
      </c>
      <c r="F69" s="35">
        <f>'Scope &amp; Phases'!F68</f>
        <v>2</v>
      </c>
    </row>
    <row r="70" spans="1:6" ht="18" customHeight="1" x14ac:dyDescent="0.2">
      <c r="A70" s="32" t="str">
        <f>'Scope &amp; Phases'!A69</f>
        <v>8</v>
      </c>
      <c r="B70" s="36" t="str">
        <f>'Scope &amp; Phases'!B69</f>
        <v>Punch, Carpet &amp; Final Clean</v>
      </c>
      <c r="C70" s="36" t="str">
        <f>'Scope &amp; Phases'!C69</f>
        <v>Punch List &amp; Touch-up</v>
      </c>
      <c r="D70" s="32" t="str">
        <f>'Scope &amp; Phases'!D69</f>
        <v>x</v>
      </c>
      <c r="E70" s="60">
        <f>'Scope &amp; Phases'!E69</f>
        <v>1400</v>
      </c>
      <c r="F70" s="35">
        <f>'Scope &amp; Phases'!F69</f>
        <v>4</v>
      </c>
    </row>
    <row r="71" spans="1:6" ht="18" customHeight="1" x14ac:dyDescent="0.2">
      <c r="A71" s="32" t="str">
        <f>'Scope &amp; Phases'!A70</f>
        <v>8</v>
      </c>
      <c r="B71" s="36">
        <f>'Scope &amp; Phases'!B70</f>
        <v>0</v>
      </c>
      <c r="C71" s="36" t="str">
        <f>'Scope &amp; Phases'!C70</f>
        <v>Carpet</v>
      </c>
      <c r="D71" s="32" t="str">
        <f>'Scope &amp; Phases'!D70</f>
        <v>x</v>
      </c>
      <c r="E71" s="60">
        <f>'Scope &amp; Phases'!E70</f>
        <v>1925</v>
      </c>
      <c r="F71" s="35">
        <f>'Scope &amp; Phases'!F70</f>
        <v>2</v>
      </c>
    </row>
    <row r="72" spans="1:6" ht="18" customHeight="1" x14ac:dyDescent="0.2">
      <c r="A72" s="32" t="str">
        <f>'Scope &amp; Phases'!A71</f>
        <v>8</v>
      </c>
      <c r="B72" s="36">
        <f>'Scope &amp; Phases'!B71</f>
        <v>0</v>
      </c>
      <c r="C72" s="36" t="str">
        <f>'Scope &amp; Phases'!C71</f>
        <v>Final Clean</v>
      </c>
      <c r="D72" s="32" t="str">
        <f>'Scope &amp; Phases'!D71</f>
        <v>x</v>
      </c>
      <c r="E72" s="60">
        <f>'Scope &amp; Phases'!E71</f>
        <v>625</v>
      </c>
      <c r="F72" s="35">
        <f>'Scope &amp; Phases'!F71</f>
        <v>2</v>
      </c>
    </row>
    <row r="73" spans="1:6" ht="18" customHeight="1" x14ac:dyDescent="0.2">
      <c r="A73" s="32" t="str">
        <f>'Scope &amp; Phases'!A72</f>
        <v>8</v>
      </c>
      <c r="B73" s="36">
        <f>'Scope &amp; Phases'!B72</f>
        <v>0</v>
      </c>
      <c r="C73" s="36" t="str">
        <f>'Scope &amp; Phases'!C72</f>
        <v>Staging</v>
      </c>
      <c r="D73" s="32" t="str">
        <f>'Scope &amp; Phases'!D72</f>
        <v>x</v>
      </c>
      <c r="E73" s="60">
        <f>'Scope &amp; Phases'!E72</f>
        <v>2200</v>
      </c>
      <c r="F73" s="35">
        <f>'Scope &amp; Phases'!F72</f>
        <v>2</v>
      </c>
    </row>
    <row r="74" spans="1:6" ht="18" customHeight="1" x14ac:dyDescent="0.2">
      <c r="A74" s="32" t="str">
        <f>'Scope &amp; Phases'!A73</f>
        <v>8</v>
      </c>
      <c r="B74" s="36">
        <f>'Scope &amp; Phases'!B73</f>
        <v>0</v>
      </c>
      <c r="C74" s="36" t="str">
        <f>'Scope &amp; Phases'!C73</f>
        <v>Warranty &amp; Callback Reserve</v>
      </c>
      <c r="D74" s="32" t="str">
        <f>'Scope &amp; Phases'!D73</f>
        <v>x</v>
      </c>
      <c r="E74" s="60">
        <f>'Scope &amp; Phases'!E73</f>
        <v>975</v>
      </c>
      <c r="F74" s="35">
        <f>'Scope &amp; Phases'!F73</f>
        <v>0</v>
      </c>
    </row>
    <row r="75" spans="1:6" ht="16" x14ac:dyDescent="0.2">
      <c r="C75" s="11" t="s">
        <v>305</v>
      </c>
      <c r="E75" s="24">
        <f>SUMIF(D9:D74,"x",E9:E74)</f>
        <v>129325</v>
      </c>
    </row>
    <row r="77" spans="1:6" ht="16" customHeight="1" x14ac:dyDescent="0.2">
      <c r="A77" s="93" t="s">
        <v>306</v>
      </c>
      <c r="B77" s="62"/>
      <c r="C77" s="62"/>
      <c r="D77" s="62"/>
      <c r="E77" s="62"/>
      <c r="F77" s="62"/>
    </row>
  </sheetData>
  <mergeCells count="4">
    <mergeCell ref="A2:F2"/>
    <mergeCell ref="A6:F6"/>
    <mergeCell ref="A1:F1"/>
    <mergeCell ref="A77:F77"/>
  </mergeCells>
  <conditionalFormatting sqref="A9:F74">
    <cfRule type="expression" dxfId="0" priority="1">
      <formula>$D9&lt;&gt;"x"</formula>
    </cfRule>
  </conditionalFormatting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Start Here</vt:lpstr>
      <vt:lpstr>Your Deal</vt:lpstr>
      <vt:lpstr>Comps &amp; Buy Box</vt:lpstr>
      <vt:lpstr>Scope &amp; Phases</vt:lpstr>
      <vt:lpstr>Bid Request</vt:lpstr>
      <vt:lpstr>Bid Comparison</vt:lpstr>
      <vt:lpstr>Budget &amp; Schedule</vt:lpstr>
      <vt:lpstr>Draw Schedule</vt:lpstr>
      <vt:lpstr>Cash &amp; Float</vt:lpstr>
      <vt:lpstr>Take Into Hona</vt:lpstr>
      <vt:lpstr>'Bid Request'!Print_Area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Jared Watson</cp:lastModifiedBy>
  <dcterms:created xsi:type="dcterms:W3CDTF">2026-09-29T18:12:07Z</dcterms:created>
  <dcterms:modified xsi:type="dcterms:W3CDTF">2026-09-30T01:13:28Z</dcterms:modified>
</cp:coreProperties>
</file>